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6885805f6c84f24/Desktop/Quotation- 2026-2027/"/>
    </mc:Choice>
  </mc:AlternateContent>
  <xr:revisionPtr revIDLastSave="30" documentId="13_ncr:1_{850B2C0A-B897-47FF-9FCA-25651634BAC2}" xr6:coauthVersionLast="47" xr6:coauthVersionMax="47" xr10:uidLastSave="{9D6925CF-0472-40EE-B090-F2D3CE8F0F11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3" i="1"/>
  <c r="F36" i="1"/>
  <c r="F38" i="1"/>
  <c r="F40" i="1"/>
  <c r="F39" i="1"/>
  <c r="F37" i="1"/>
  <c r="D51" i="1"/>
  <c r="C51" i="1"/>
  <c r="B51" i="1"/>
  <c r="G13" i="1"/>
  <c r="G14" i="1" s="1"/>
  <c r="G16" i="1" s="1"/>
  <c r="F13" i="1"/>
  <c r="F14" i="1" s="1"/>
  <c r="F16" i="1" s="1"/>
  <c r="E13" i="1"/>
  <c r="E14" i="1" s="1"/>
  <c r="E16" i="1" s="1"/>
  <c r="C14" i="1"/>
  <c r="D52" i="1" l="1"/>
  <c r="D53" i="1"/>
  <c r="C53" i="1"/>
  <c r="C52" i="1"/>
  <c r="C54" i="1" s="1"/>
  <c r="B52" i="1"/>
  <c r="B53" i="1"/>
  <c r="D14" i="1"/>
  <c r="G37" i="1"/>
  <c r="G38" i="1"/>
  <c r="G39" i="1"/>
  <c r="G40" i="1"/>
  <c r="F23" i="1"/>
  <c r="G23" i="1"/>
  <c r="D54" i="1" l="1"/>
  <c r="B54" i="1"/>
  <c r="G41" i="1"/>
  <c r="F19" i="1"/>
  <c r="F20" i="1" s="1"/>
  <c r="G19" i="1"/>
  <c r="G20" i="1" s="1"/>
  <c r="E23" i="1"/>
  <c r="D23" i="1"/>
  <c r="C23" i="1"/>
  <c r="D19" i="1"/>
  <c r="C19" i="1"/>
  <c r="D13" i="1"/>
  <c r="G22" i="1" l="1"/>
  <c r="G25" i="1" s="1"/>
  <c r="G26" i="1" s="1"/>
  <c r="F22" i="1"/>
  <c r="F25" i="1" s="1"/>
  <c r="F26" i="1" s="1"/>
  <c r="D20" i="1"/>
  <c r="C20" i="1"/>
  <c r="G28" i="1" l="1"/>
  <c r="C22" i="1"/>
  <c r="C25" i="1" s="1"/>
  <c r="C26" i="1" s="1"/>
  <c r="F28" i="1"/>
  <c r="D22" i="1"/>
  <c r="D25" i="1" s="1"/>
  <c r="D26" i="1" s="1"/>
  <c r="E19" i="1"/>
  <c r="E20" i="1" s="1"/>
  <c r="C28" i="1" l="1"/>
  <c r="C29" i="1" s="1"/>
  <c r="E22" i="1"/>
  <c r="E25" i="1" s="1"/>
  <c r="E26" i="1" s="1"/>
  <c r="D28" i="1"/>
  <c r="D29" i="1" s="1"/>
  <c r="F29" i="1"/>
  <c r="G29" i="1"/>
  <c r="E28" i="1" l="1"/>
  <c r="E29" i="1" s="1"/>
</calcChain>
</file>

<file path=xl/sharedStrings.xml><?xml version="1.0" encoding="utf-8"?>
<sst xmlns="http://schemas.openxmlformats.org/spreadsheetml/2006/main" count="85" uniqueCount="67">
  <si>
    <t>Cost Breakup for Security Services for M/S- HATSOFF</t>
  </si>
  <si>
    <t>All Amount in INR</t>
  </si>
  <si>
    <t>VAGT SECURITY SERVICES</t>
  </si>
  <si>
    <t>Sr.No</t>
  </si>
  <si>
    <t>Particulars</t>
  </si>
  <si>
    <t>Security Officer</t>
  </si>
  <si>
    <t>Additional Security Guard</t>
  </si>
  <si>
    <t>Basic wages</t>
  </si>
  <si>
    <t>Allowance</t>
  </si>
  <si>
    <t>Washing Allowance</t>
  </si>
  <si>
    <t>Wages For 8 Hr's</t>
  </si>
  <si>
    <t xml:space="preserve"> Block I ( Gross)</t>
  </si>
  <si>
    <t>P.F-          (13% of Basic + DA)</t>
  </si>
  <si>
    <t>Block II</t>
  </si>
  <si>
    <t>Total ( Block I &amp; II )</t>
  </si>
  <si>
    <t>Reliever Charges 1/6th (on Block I&amp; II)</t>
  </si>
  <si>
    <t>Block III</t>
  </si>
  <si>
    <t>Total ( I , II &amp; III)</t>
  </si>
  <si>
    <t xml:space="preserve">Service Charges on  I, II, III </t>
  </si>
  <si>
    <t>Sub Total Block IV</t>
  </si>
  <si>
    <t xml:space="preserve">TOTAL </t>
  </si>
  <si>
    <t>Round off</t>
  </si>
  <si>
    <t>GST as applicable</t>
  </si>
  <si>
    <t>Existing Salary</t>
  </si>
  <si>
    <t>Increment / Person</t>
  </si>
  <si>
    <t>Total</t>
  </si>
  <si>
    <t>Total Increased</t>
  </si>
  <si>
    <t>Revised  Salary</t>
  </si>
  <si>
    <t>8 Hrs 26 days</t>
  </si>
  <si>
    <t>Uniform Allowance</t>
  </si>
  <si>
    <t>Security Guard G-2</t>
  </si>
  <si>
    <t>Security Guard- G1</t>
  </si>
  <si>
    <t>Security Guard G-3</t>
  </si>
  <si>
    <t>Deployment</t>
  </si>
  <si>
    <t xml:space="preserve">Fire Officer </t>
  </si>
  <si>
    <t>Security Guard Grade-I</t>
  </si>
  <si>
    <t>Security Guard Grade-II</t>
  </si>
  <si>
    <t>Note:</t>
  </si>
  <si>
    <t>8 Hrs(26 Days)</t>
  </si>
  <si>
    <t>8 Hrs ( 26 Days)</t>
  </si>
  <si>
    <t>ESI-          (3.25% of Gross)</t>
  </si>
  <si>
    <t>Training &amp; Supervision</t>
  </si>
  <si>
    <t>8 Hrs (30 Days)</t>
  </si>
  <si>
    <t>April 26 to Mar 27</t>
  </si>
  <si>
    <t>2026-27</t>
  </si>
  <si>
    <t>DA</t>
  </si>
  <si>
    <t>MINIMUM WAGES REVISION FOR THE YEAR 2026-2027 &amp; TOTAL COMMERCIAL IMPACT ON CTC</t>
  </si>
  <si>
    <t>Fire officer 3</t>
  </si>
  <si>
    <t>Revised Proposal as per new Minimum wages 2026-2027</t>
  </si>
  <si>
    <t>Service Charges in 6 %</t>
  </si>
  <si>
    <t>DA increase Rs. 435.40 has been added for the this financial year 2026-2027</t>
  </si>
  <si>
    <t>5 Days in a year National Festivals Holidays have been added now</t>
  </si>
  <si>
    <t>LEAVE(NH) - 5 Days in a year</t>
  </si>
  <si>
    <t>Increment breakup</t>
  </si>
  <si>
    <t>NFH</t>
  </si>
  <si>
    <t>Service Charges-6.5%</t>
  </si>
  <si>
    <t>Fire officer</t>
  </si>
  <si>
    <t>Increase in ESI</t>
  </si>
  <si>
    <t>Line Items</t>
  </si>
  <si>
    <t>Uniform allowance</t>
  </si>
  <si>
    <t>Security Guard</t>
  </si>
  <si>
    <t>Training  Charges 2%</t>
  </si>
  <si>
    <t>The Uniform allowance was not calculated in previous costing for SG has been added now.</t>
  </si>
  <si>
    <t>Sub Total</t>
  </si>
  <si>
    <t>BONUS - (8.33 % of Basic + DA) Fixed at 584</t>
  </si>
  <si>
    <t xml:space="preserve">Total Impact </t>
  </si>
  <si>
    <t>The uniform allowance was not added in the total calculation for FO has been added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</si>
</sst>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b/>
      <i/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i/>
      <sz val="11"/>
      <color indexed="8"/>
      <name val="Calibri"/>
      <family val="2"/>
    </font>
    <font>
      <b/>
      <sz val="11"/>
      <color indexed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39">
    <xf numFmtId="0" fontId="0" fillId="0" borderId="0" xfId="0"/>
    <xf numFmtId="0" fontId="3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 wrapText="1"/>
    </xf>
    <xf numFmtId="0" fontId="7" fillId="4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0" fontId="6" fillId="0" borderId="6" xfId="0" applyFont="1" applyBorder="1" applyAlignment="1">
      <alignment wrapText="1"/>
    </xf>
    <xf numFmtId="164" fontId="4" fillId="4" borderId="6" xfId="1" applyFont="1" applyFill="1" applyBorder="1"/>
    <xf numFmtId="0" fontId="4" fillId="0" borderId="6" xfId="0" applyFont="1" applyBorder="1" applyAlignment="1">
      <alignment wrapText="1"/>
    </xf>
    <xf numFmtId="164" fontId="3" fillId="4" borderId="6" xfId="1" applyFont="1" applyFill="1" applyBorder="1" applyAlignment="1">
      <alignment horizontal="right" wrapText="1"/>
    </xf>
    <xf numFmtId="0" fontId="6" fillId="5" borderId="6" xfId="0" applyFont="1" applyFill="1" applyBorder="1" applyAlignment="1">
      <alignment wrapText="1"/>
    </xf>
    <xf numFmtId="164" fontId="3" fillId="4" borderId="6" xfId="1" applyFont="1" applyFill="1" applyBorder="1"/>
    <xf numFmtId="164" fontId="9" fillId="4" borderId="6" xfId="1" applyFont="1" applyFill="1" applyBorder="1" applyAlignment="1">
      <alignment horizontal="right" wrapText="1"/>
    </xf>
    <xf numFmtId="164" fontId="2" fillId="4" borderId="6" xfId="1" applyFont="1" applyFill="1" applyBorder="1" applyAlignment="1">
      <alignment horizontal="right" wrapText="1"/>
    </xf>
    <xf numFmtId="0" fontId="6" fillId="0" borderId="6" xfId="0" applyFont="1" applyBorder="1" applyAlignment="1">
      <alignment horizontal="left" wrapText="1"/>
    </xf>
    <xf numFmtId="164" fontId="6" fillId="4" borderId="6" xfId="1" applyFont="1" applyFill="1" applyBorder="1" applyAlignment="1">
      <alignment horizontal="right" wrapText="1"/>
    </xf>
    <xf numFmtId="164" fontId="7" fillId="4" borderId="6" xfId="1" applyFont="1" applyFill="1" applyBorder="1" applyAlignment="1">
      <alignment horizontal="right" wrapText="1"/>
    </xf>
    <xf numFmtId="0" fontId="4" fillId="0" borderId="6" xfId="0" applyFont="1" applyBorder="1"/>
    <xf numFmtId="10" fontId="10" fillId="4" borderId="6" xfId="1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5" borderId="6" xfId="0" applyFont="1" applyFill="1" applyBorder="1" applyAlignment="1">
      <alignment horizontal="center" wrapText="1"/>
    </xf>
    <xf numFmtId="0" fontId="0" fillId="0" borderId="6" xfId="0" applyBorder="1"/>
    <xf numFmtId="0" fontId="0" fillId="6" borderId="6" xfId="0" applyFill="1" applyBorder="1"/>
    <xf numFmtId="0" fontId="0" fillId="0" borderId="6" xfId="0" applyBorder="1" applyAlignment="1">
      <alignment wrapText="1"/>
    </xf>
    <xf numFmtId="4" fontId="9" fillId="4" borderId="6" xfId="1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Fill="1" applyBorder="1"/>
  </cellXfs>
  <cellStyles count="2">
    <cellStyle name="Comma 2" xfId="1" xr:uid="{F3B134D7-9864-409D-BF4F-8DE16EAA915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1"/>
  <sheetViews>
    <sheetView tabSelected="1" topLeftCell="A46" workbookViewId="0">
      <selection activeCell="H51" sqref="H51"/>
    </sheetView>
  </sheetViews>
  <sheetFormatPr defaultRowHeight="15" x14ac:dyDescent="0.25"/>
  <cols>
    <col min="1" max="1" width="24.7109375" bestFit="1" customWidth="1"/>
    <col min="2" max="2" width="18.28515625" customWidth="1"/>
    <col min="3" max="3" width="13.5703125" customWidth="1"/>
    <col min="4" max="4" width="14.140625" customWidth="1"/>
    <col min="5" max="5" width="14" customWidth="1"/>
    <col min="6" max="6" width="12.42578125" customWidth="1"/>
    <col min="7" max="7" width="20" bestFit="1" customWidth="1"/>
    <col min="9" max="9" width="20" bestFit="1" customWidth="1"/>
    <col min="10" max="10" width="14.85546875" bestFit="1" customWidth="1"/>
    <col min="11" max="11" width="10.7109375" bestFit="1" customWidth="1"/>
    <col min="12" max="12" width="13.5703125" bestFit="1" customWidth="1"/>
  </cols>
  <sheetData>
    <row r="1" spans="1:7" x14ac:dyDescent="0.25">
      <c r="A1" s="26" t="s">
        <v>0</v>
      </c>
      <c r="B1" s="27"/>
      <c r="C1" s="27"/>
      <c r="D1" s="27"/>
      <c r="E1" s="27"/>
      <c r="F1" s="27"/>
      <c r="G1" s="27"/>
    </row>
    <row r="2" spans="1:7" x14ac:dyDescent="0.25">
      <c r="A2" s="28"/>
      <c r="B2" s="29"/>
      <c r="C2" s="29"/>
      <c r="D2" s="29"/>
      <c r="E2" s="29"/>
      <c r="F2" s="29"/>
      <c r="G2" s="29"/>
    </row>
    <row r="3" spans="1:7" x14ac:dyDescent="0.25">
      <c r="A3" s="30" t="s">
        <v>1</v>
      </c>
      <c r="B3" s="31"/>
      <c r="C3" s="1" t="s">
        <v>44</v>
      </c>
      <c r="D3" s="1" t="s">
        <v>44</v>
      </c>
      <c r="E3" s="1" t="s">
        <v>44</v>
      </c>
      <c r="F3" s="1" t="s">
        <v>44</v>
      </c>
      <c r="G3" s="1" t="s">
        <v>44</v>
      </c>
    </row>
    <row r="4" spans="1:7" ht="31.5" x14ac:dyDescent="0.25">
      <c r="A4" s="32"/>
      <c r="B4" s="33"/>
      <c r="C4" s="3" t="s">
        <v>43</v>
      </c>
      <c r="D4" s="3" t="s">
        <v>43</v>
      </c>
      <c r="E4" s="3" t="s">
        <v>43</v>
      </c>
      <c r="F4" s="3" t="s">
        <v>43</v>
      </c>
      <c r="G4" s="3" t="s">
        <v>43</v>
      </c>
    </row>
    <row r="5" spans="1:7" x14ac:dyDescent="0.25">
      <c r="A5" s="32"/>
      <c r="B5" s="33"/>
      <c r="C5" s="2" t="s">
        <v>28</v>
      </c>
      <c r="D5" s="2" t="s">
        <v>42</v>
      </c>
      <c r="E5" s="2" t="s">
        <v>38</v>
      </c>
      <c r="F5" s="2" t="s">
        <v>38</v>
      </c>
      <c r="G5" s="2" t="s">
        <v>39</v>
      </c>
    </row>
    <row r="6" spans="1:7" ht="51" customHeight="1" x14ac:dyDescent="0.25">
      <c r="A6" s="34"/>
      <c r="B6" s="35"/>
      <c r="C6" s="3" t="s">
        <v>2</v>
      </c>
      <c r="D6" s="3" t="s">
        <v>2</v>
      </c>
      <c r="E6" s="3" t="s">
        <v>2</v>
      </c>
      <c r="F6" s="5" t="s">
        <v>2</v>
      </c>
      <c r="G6" s="3" t="s">
        <v>2</v>
      </c>
    </row>
    <row r="7" spans="1:7" ht="42" customHeight="1" x14ac:dyDescent="0.25">
      <c r="A7" s="4" t="s">
        <v>3</v>
      </c>
      <c r="B7" s="4" t="s">
        <v>4</v>
      </c>
      <c r="C7" s="5" t="s">
        <v>5</v>
      </c>
      <c r="D7" s="5" t="s">
        <v>34</v>
      </c>
      <c r="E7" s="5" t="s">
        <v>35</v>
      </c>
      <c r="F7" s="5" t="s">
        <v>36</v>
      </c>
      <c r="G7" s="5" t="s">
        <v>6</v>
      </c>
    </row>
    <row r="8" spans="1:7" x14ac:dyDescent="0.25">
      <c r="A8" s="6">
        <v>1</v>
      </c>
      <c r="B8" s="7" t="s">
        <v>7</v>
      </c>
      <c r="C8" s="8">
        <v>17386</v>
      </c>
      <c r="D8" s="8">
        <v>16058.3</v>
      </c>
      <c r="E8" s="8">
        <v>15742.26</v>
      </c>
      <c r="F8" s="8">
        <v>15742.26</v>
      </c>
      <c r="G8" s="8">
        <v>15742.26</v>
      </c>
    </row>
    <row r="9" spans="1:7" ht="18.75" customHeight="1" x14ac:dyDescent="0.25">
      <c r="A9" s="6">
        <v>2</v>
      </c>
      <c r="B9" s="9" t="s">
        <v>45</v>
      </c>
      <c r="C9" s="8">
        <v>3254.4</v>
      </c>
      <c r="D9" s="8">
        <v>3254.4</v>
      </c>
      <c r="E9" s="8">
        <v>3254.4</v>
      </c>
      <c r="F9" s="8">
        <v>3254.4</v>
      </c>
      <c r="G9" s="8">
        <v>3254.4</v>
      </c>
    </row>
    <row r="10" spans="1:7" x14ac:dyDescent="0.25">
      <c r="A10" s="6"/>
      <c r="B10" s="9" t="s">
        <v>8</v>
      </c>
      <c r="C10" s="8">
        <v>3380</v>
      </c>
      <c r="D10" s="8">
        <v>4500</v>
      </c>
      <c r="E10" s="8">
        <v>0</v>
      </c>
      <c r="F10" s="8">
        <v>0</v>
      </c>
      <c r="G10" s="8">
        <v>0</v>
      </c>
    </row>
    <row r="11" spans="1:7" ht="17.25" customHeight="1" x14ac:dyDescent="0.25">
      <c r="A11" s="6"/>
      <c r="B11" s="9" t="s">
        <v>29</v>
      </c>
      <c r="C11" s="8">
        <v>0</v>
      </c>
      <c r="D11" s="8">
        <v>350</v>
      </c>
      <c r="E11" s="8">
        <v>350</v>
      </c>
      <c r="F11" s="8">
        <v>350</v>
      </c>
      <c r="G11" s="8">
        <v>350</v>
      </c>
    </row>
    <row r="12" spans="1:7" ht="18" customHeight="1" x14ac:dyDescent="0.25">
      <c r="A12" s="6">
        <v>3</v>
      </c>
      <c r="B12" s="7" t="s">
        <v>9</v>
      </c>
      <c r="C12" s="8">
        <v>0</v>
      </c>
      <c r="D12" s="8"/>
      <c r="E12" s="8">
        <v>300</v>
      </c>
      <c r="F12" s="8">
        <v>300</v>
      </c>
      <c r="G12" s="8">
        <v>300</v>
      </c>
    </row>
    <row r="13" spans="1:7" x14ac:dyDescent="0.25">
      <c r="A13" s="6">
        <v>4</v>
      </c>
      <c r="B13" s="7" t="s">
        <v>10</v>
      </c>
      <c r="C13" s="10">
        <f>C8+C9+C10</f>
        <v>24020.400000000001</v>
      </c>
      <c r="D13" s="10">
        <f>D8+D9</f>
        <v>19312.7</v>
      </c>
      <c r="E13" s="10">
        <f>E8+E9</f>
        <v>18996.66</v>
      </c>
      <c r="F13" s="10">
        <f>F8+F9</f>
        <v>18996.66</v>
      </c>
      <c r="G13" s="10">
        <f>G8+G9</f>
        <v>18996.66</v>
      </c>
    </row>
    <row r="14" spans="1:7" ht="41.25" customHeight="1" x14ac:dyDescent="0.25">
      <c r="A14" s="6">
        <v>5</v>
      </c>
      <c r="B14" s="11" t="s">
        <v>11</v>
      </c>
      <c r="C14" s="12">
        <f>C8+C9+C10</f>
        <v>24020.400000000001</v>
      </c>
      <c r="D14" s="12">
        <f>D8+D9+D10+D11+D12</f>
        <v>24162.7</v>
      </c>
      <c r="E14" s="12">
        <f>E11+E12+E13</f>
        <v>19646.66</v>
      </c>
      <c r="F14" s="12">
        <f>F11+F12+F13</f>
        <v>19646.66</v>
      </c>
      <c r="G14" s="12">
        <f>G11+G12+G13</f>
        <v>19646.66</v>
      </c>
    </row>
    <row r="15" spans="1:7" ht="33.75" customHeight="1" x14ac:dyDescent="0.25">
      <c r="A15" s="6">
        <v>6</v>
      </c>
      <c r="B15" s="7" t="s">
        <v>12</v>
      </c>
      <c r="C15" s="8">
        <v>1950</v>
      </c>
      <c r="D15" s="8">
        <v>1950</v>
      </c>
      <c r="E15" s="8">
        <v>1950</v>
      </c>
      <c r="F15" s="8">
        <v>1950</v>
      </c>
      <c r="G15" s="8">
        <v>1950</v>
      </c>
    </row>
    <row r="16" spans="1:7" ht="36.75" customHeight="1" x14ac:dyDescent="0.25">
      <c r="A16" s="6">
        <v>7</v>
      </c>
      <c r="B16" s="7" t="s">
        <v>40</v>
      </c>
      <c r="C16" s="8">
        <f>C14*3.25%</f>
        <v>780.66300000000012</v>
      </c>
      <c r="D16" s="8">
        <v>683</v>
      </c>
      <c r="E16" s="8">
        <f>E14*3.25%</f>
        <v>638.51644999999996</v>
      </c>
      <c r="F16" s="8">
        <f>F14*3.25%</f>
        <v>638.51644999999996</v>
      </c>
      <c r="G16" s="8">
        <f>G14*3.25%</f>
        <v>638.51644999999996</v>
      </c>
    </row>
    <row r="17" spans="1:7" ht="44.25" customHeight="1" x14ac:dyDescent="0.25">
      <c r="A17" s="6">
        <v>8</v>
      </c>
      <c r="B17" s="7" t="s">
        <v>64</v>
      </c>
      <c r="C17" s="8">
        <v>584</v>
      </c>
      <c r="D17" s="8">
        <v>584</v>
      </c>
      <c r="E17" s="8">
        <v>584</v>
      </c>
      <c r="F17" s="8">
        <v>584</v>
      </c>
      <c r="G17" s="8">
        <v>584</v>
      </c>
    </row>
    <row r="18" spans="1:7" ht="30" customHeight="1" x14ac:dyDescent="0.25">
      <c r="A18" s="6">
        <v>9</v>
      </c>
      <c r="B18" s="7" t="s">
        <v>52</v>
      </c>
      <c r="C18" s="8">
        <v>385</v>
      </c>
      <c r="D18" s="8">
        <v>387</v>
      </c>
      <c r="E18" s="8">
        <v>304</v>
      </c>
      <c r="F18" s="8">
        <v>304</v>
      </c>
      <c r="G18" s="8">
        <v>304</v>
      </c>
    </row>
    <row r="19" spans="1:7" x14ac:dyDescent="0.25">
      <c r="A19" s="6">
        <v>10</v>
      </c>
      <c r="B19" s="11" t="s">
        <v>13</v>
      </c>
      <c r="C19" s="13">
        <f>SUM(C15:C18)</f>
        <v>3699.663</v>
      </c>
      <c r="D19" s="13">
        <f>SUM(D15:D18)</f>
        <v>3604</v>
      </c>
      <c r="E19" s="13">
        <f>SUM(E15:E18)</f>
        <v>3476.5164500000001</v>
      </c>
      <c r="F19" s="13">
        <f>SUM(F15:F18)</f>
        <v>3476.5164500000001</v>
      </c>
      <c r="G19" s="13">
        <f>SUM(G15:G18)</f>
        <v>3476.5164500000001</v>
      </c>
    </row>
    <row r="20" spans="1:7" ht="27" customHeight="1" x14ac:dyDescent="0.25">
      <c r="A20" s="6">
        <v>11</v>
      </c>
      <c r="B20" s="11" t="s">
        <v>14</v>
      </c>
      <c r="C20" s="14">
        <f>ROUND(SUM(C19+C14),0)</f>
        <v>27720</v>
      </c>
      <c r="D20" s="14">
        <f>ROUND(SUM(D19+D14),0)</f>
        <v>27767</v>
      </c>
      <c r="E20" s="14">
        <f>ROUND(SUM(E19+E14),0)</f>
        <v>23123</v>
      </c>
      <c r="F20" s="14">
        <f>ROUND(SUM(F19+F14),0)</f>
        <v>23123</v>
      </c>
      <c r="G20" s="14">
        <f>ROUND(SUM(G19+G14),0)</f>
        <v>23123</v>
      </c>
    </row>
    <row r="21" spans="1:7" ht="44.25" customHeight="1" x14ac:dyDescent="0.25">
      <c r="A21" s="6">
        <v>12</v>
      </c>
      <c r="B21" s="15" t="s">
        <v>15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</row>
    <row r="22" spans="1:7" ht="28.5" customHeight="1" x14ac:dyDescent="0.25">
      <c r="A22" s="6">
        <v>13</v>
      </c>
      <c r="B22" s="15" t="s">
        <v>41</v>
      </c>
      <c r="C22" s="17">
        <f>C20*2%</f>
        <v>554.4</v>
      </c>
      <c r="D22" s="17">
        <f>D20*2%</f>
        <v>555.34</v>
      </c>
      <c r="E22" s="17">
        <f>E20*2%</f>
        <v>462.46000000000004</v>
      </c>
      <c r="F22" s="17">
        <f>F20*2%</f>
        <v>462.46000000000004</v>
      </c>
      <c r="G22" s="17">
        <f>G20*2%</f>
        <v>462.46000000000004</v>
      </c>
    </row>
    <row r="23" spans="1:7" x14ac:dyDescent="0.25">
      <c r="A23" s="6">
        <v>14</v>
      </c>
      <c r="B23" s="11" t="s">
        <v>16</v>
      </c>
      <c r="C23" s="13">
        <f>SUM(C21:C21)</f>
        <v>0</v>
      </c>
      <c r="D23" s="13">
        <f>SUM(D21:D21)</f>
        <v>0</v>
      </c>
      <c r="E23" s="13">
        <f>SUM(E21:E21)</f>
        <v>0</v>
      </c>
      <c r="F23" s="13">
        <f>SUM(F21:F21)</f>
        <v>0</v>
      </c>
      <c r="G23" s="13">
        <f>SUM(G21:G21)</f>
        <v>0</v>
      </c>
    </row>
    <row r="24" spans="1:7" x14ac:dyDescent="0.25">
      <c r="A24" s="6"/>
      <c r="B24" s="18"/>
      <c r="C24" s="8"/>
      <c r="D24" s="8"/>
      <c r="E24" s="8"/>
      <c r="F24" s="8"/>
      <c r="G24" s="8"/>
    </row>
    <row r="25" spans="1:7" x14ac:dyDescent="0.25">
      <c r="A25" s="6">
        <v>15</v>
      </c>
      <c r="B25" s="11" t="s">
        <v>17</v>
      </c>
      <c r="C25" s="25">
        <f>C20+C22</f>
        <v>28274.400000000001</v>
      </c>
      <c r="D25" s="13">
        <f>D20+D22</f>
        <v>28322.34</v>
      </c>
      <c r="E25" s="13">
        <f>E20+E22</f>
        <v>23585.46</v>
      </c>
      <c r="F25" s="13">
        <f>F20+F22</f>
        <v>23585.46</v>
      </c>
      <c r="G25" s="13">
        <f>G20+G22</f>
        <v>23585.46</v>
      </c>
    </row>
    <row r="26" spans="1:7" ht="30" x14ac:dyDescent="0.25">
      <c r="A26" s="6">
        <v>16</v>
      </c>
      <c r="B26" s="7" t="s">
        <v>18</v>
      </c>
      <c r="C26" s="17">
        <f>C25*6.5%</f>
        <v>1837.8360000000002</v>
      </c>
      <c r="D26" s="17">
        <f>D25*6.5%</f>
        <v>1840.9521</v>
      </c>
      <c r="E26" s="17">
        <f>E25*6.5%</f>
        <v>1533.0549000000001</v>
      </c>
      <c r="F26" s="17">
        <f>F25*6.5%</f>
        <v>1533.0549000000001</v>
      </c>
      <c r="G26" s="17">
        <f>G25*6.5%</f>
        <v>1533.0549000000001</v>
      </c>
    </row>
    <row r="27" spans="1:7" ht="30" x14ac:dyDescent="0.25">
      <c r="A27" s="6">
        <v>17</v>
      </c>
      <c r="B27" s="7" t="s">
        <v>49</v>
      </c>
      <c r="C27" s="19">
        <v>6.5000000000000002E-2</v>
      </c>
      <c r="D27" s="19">
        <v>6.5000000000000002E-2</v>
      </c>
      <c r="E27" s="19">
        <v>6.5000000000000002E-2</v>
      </c>
      <c r="F27" s="19">
        <v>6.5000000000000002E-2</v>
      </c>
      <c r="G27" s="19">
        <v>6.5000000000000002E-2</v>
      </c>
    </row>
    <row r="28" spans="1:7" ht="31.5" customHeight="1" x14ac:dyDescent="0.25">
      <c r="A28" s="20">
        <v>18</v>
      </c>
      <c r="B28" s="11" t="s">
        <v>19</v>
      </c>
      <c r="C28" s="13">
        <f>C25+C26</f>
        <v>30112.236000000001</v>
      </c>
      <c r="D28" s="13">
        <f>D25+D26</f>
        <v>30163.292099999999</v>
      </c>
      <c r="E28" s="13">
        <f>E25+E26</f>
        <v>25118.514899999998</v>
      </c>
      <c r="F28" s="13">
        <f>F25+F26</f>
        <v>25118.514899999998</v>
      </c>
      <c r="G28" s="13">
        <f>G25+G26</f>
        <v>25118.514899999998</v>
      </c>
    </row>
    <row r="29" spans="1:7" x14ac:dyDescent="0.25">
      <c r="A29" s="20">
        <v>19</v>
      </c>
      <c r="B29" s="21" t="s">
        <v>20</v>
      </c>
      <c r="C29" s="17">
        <f>ROUND(SUM(C28:C28),0)</f>
        <v>30112</v>
      </c>
      <c r="D29" s="17">
        <f>ROUND(SUM(D28:D28),0)</f>
        <v>30163</v>
      </c>
      <c r="E29" s="17">
        <f>ROUND(SUM(E28:E28),0)</f>
        <v>25119</v>
      </c>
      <c r="F29" s="17">
        <f>ROUND(SUM(F28:F28),0)</f>
        <v>25119</v>
      </c>
      <c r="G29" s="17">
        <f>ROUND(SUM(G28:G28),0)</f>
        <v>25119</v>
      </c>
    </row>
    <row r="30" spans="1:7" x14ac:dyDescent="0.25">
      <c r="A30" s="22"/>
      <c r="B30" s="22" t="s">
        <v>21</v>
      </c>
      <c r="C30" s="17">
        <v>30112</v>
      </c>
      <c r="D30" s="17">
        <v>30163</v>
      </c>
      <c r="E30" s="17">
        <v>25119</v>
      </c>
      <c r="F30" s="17">
        <v>25119</v>
      </c>
      <c r="G30" s="17">
        <v>25119</v>
      </c>
    </row>
    <row r="31" spans="1:7" x14ac:dyDescent="0.25">
      <c r="A31" s="22"/>
      <c r="B31" s="22" t="s">
        <v>22</v>
      </c>
      <c r="C31" s="22"/>
    </row>
    <row r="34" spans="1:7" x14ac:dyDescent="0.25">
      <c r="A34" s="36" t="s">
        <v>46</v>
      </c>
      <c r="B34" s="36"/>
      <c r="C34" s="36"/>
      <c r="D34" s="36"/>
      <c r="E34" s="36"/>
      <c r="F34" s="36"/>
      <c r="G34" s="36"/>
    </row>
    <row r="35" spans="1:7" ht="33.75" customHeight="1" x14ac:dyDescent="0.25">
      <c r="A35" s="22"/>
      <c r="B35" s="22"/>
      <c r="C35" s="22" t="s">
        <v>33</v>
      </c>
      <c r="D35" s="22" t="s">
        <v>23</v>
      </c>
      <c r="E35" s="22" t="s">
        <v>27</v>
      </c>
      <c r="F35" s="24" t="s">
        <v>24</v>
      </c>
      <c r="G35" s="22" t="s">
        <v>65</v>
      </c>
    </row>
    <row r="36" spans="1:7" x14ac:dyDescent="0.25">
      <c r="A36" s="22">
        <v>1</v>
      </c>
      <c r="B36" s="22" t="s">
        <v>5</v>
      </c>
      <c r="C36" s="22">
        <v>1</v>
      </c>
      <c r="D36" s="22">
        <v>29171</v>
      </c>
      <c r="E36" s="22">
        <v>30112.240000000002</v>
      </c>
      <c r="F36" s="22">
        <f>E36-D36</f>
        <v>941.2400000000016</v>
      </c>
      <c r="G36" s="22">
        <v>941</v>
      </c>
    </row>
    <row r="37" spans="1:7" x14ac:dyDescent="0.25">
      <c r="A37" s="22">
        <v>2</v>
      </c>
      <c r="B37" s="22" t="s">
        <v>47</v>
      </c>
      <c r="C37" s="22">
        <v>3</v>
      </c>
      <c r="D37" s="22">
        <v>28780</v>
      </c>
      <c r="E37" s="22">
        <v>30163</v>
      </c>
      <c r="F37" s="22">
        <f>E37-D37</f>
        <v>1383</v>
      </c>
      <c r="G37" s="22">
        <f>F37*C37</f>
        <v>4149</v>
      </c>
    </row>
    <row r="38" spans="1:7" x14ac:dyDescent="0.25">
      <c r="A38" s="22">
        <v>3</v>
      </c>
      <c r="B38" s="22" t="s">
        <v>31</v>
      </c>
      <c r="C38" s="22">
        <v>4</v>
      </c>
      <c r="D38" s="22">
        <v>23879</v>
      </c>
      <c r="E38" s="22">
        <v>25119</v>
      </c>
      <c r="F38" s="22">
        <f>E38-D38</f>
        <v>1240</v>
      </c>
      <c r="G38" s="22">
        <f>F38*C38</f>
        <v>4960</v>
      </c>
    </row>
    <row r="39" spans="1:7" x14ac:dyDescent="0.25">
      <c r="A39" s="22">
        <v>4</v>
      </c>
      <c r="B39" s="22" t="s">
        <v>30</v>
      </c>
      <c r="C39" s="22">
        <v>1</v>
      </c>
      <c r="D39" s="22">
        <v>23879</v>
      </c>
      <c r="E39" s="22">
        <v>25119</v>
      </c>
      <c r="F39" s="22">
        <f>E39-D39</f>
        <v>1240</v>
      </c>
      <c r="G39" s="22">
        <f>F39*C39</f>
        <v>1240</v>
      </c>
    </row>
    <row r="40" spans="1:7" x14ac:dyDescent="0.25">
      <c r="A40" s="22">
        <v>5</v>
      </c>
      <c r="B40" s="22" t="s">
        <v>32</v>
      </c>
      <c r="C40" s="22">
        <v>1</v>
      </c>
      <c r="D40" s="22">
        <v>23879</v>
      </c>
      <c r="E40" s="22">
        <v>25119</v>
      </c>
      <c r="F40" s="22">
        <f>E40-D40</f>
        <v>1240</v>
      </c>
      <c r="G40" s="22">
        <f>F40*C40</f>
        <v>1240</v>
      </c>
    </row>
    <row r="41" spans="1:7" x14ac:dyDescent="0.25">
      <c r="A41" s="22">
        <v>6</v>
      </c>
      <c r="B41" s="22" t="s">
        <v>25</v>
      </c>
      <c r="C41" s="22"/>
      <c r="D41" s="22"/>
      <c r="E41" s="22"/>
      <c r="F41" s="22"/>
      <c r="G41" s="22">
        <f>SUM(G36:G40)</f>
        <v>12530</v>
      </c>
    </row>
    <row r="42" spans="1:7" x14ac:dyDescent="0.25">
      <c r="A42" s="23">
        <v>7</v>
      </c>
      <c r="B42" s="23" t="s">
        <v>26</v>
      </c>
      <c r="C42" s="23"/>
      <c r="D42" s="23"/>
      <c r="E42" s="23"/>
      <c r="F42" s="23"/>
      <c r="G42" s="23">
        <v>12530</v>
      </c>
    </row>
    <row r="44" spans="1:7" x14ac:dyDescent="0.25">
      <c r="A44" s="37" t="s">
        <v>53</v>
      </c>
      <c r="B44" s="37"/>
      <c r="C44" s="37"/>
      <c r="D44" s="37"/>
    </row>
    <row r="45" spans="1:7" x14ac:dyDescent="0.25">
      <c r="A45" s="22" t="s">
        <v>58</v>
      </c>
      <c r="B45" s="22" t="s">
        <v>5</v>
      </c>
      <c r="C45" s="22" t="s">
        <v>56</v>
      </c>
      <c r="D45" s="22" t="s">
        <v>60</v>
      </c>
    </row>
    <row r="46" spans="1:7" x14ac:dyDescent="0.25">
      <c r="A46" s="22" t="s">
        <v>45</v>
      </c>
      <c r="B46" s="22">
        <v>435</v>
      </c>
      <c r="C46" s="22">
        <v>435</v>
      </c>
      <c r="D46" s="22">
        <v>435</v>
      </c>
    </row>
    <row r="47" spans="1:7" x14ac:dyDescent="0.25">
      <c r="A47" s="22" t="s">
        <v>54</v>
      </c>
      <c r="B47" s="22">
        <v>385</v>
      </c>
      <c r="C47" s="22">
        <v>387</v>
      </c>
      <c r="D47" s="22">
        <v>304</v>
      </c>
    </row>
    <row r="48" spans="1:7" x14ac:dyDescent="0.25">
      <c r="A48" s="22" t="s">
        <v>57</v>
      </c>
      <c r="B48" s="22">
        <v>14.15</v>
      </c>
      <c r="C48" s="22">
        <v>69.489999999999995</v>
      </c>
      <c r="D48" s="22">
        <v>25.53</v>
      </c>
    </row>
    <row r="49" spans="1:4" x14ac:dyDescent="0.25">
      <c r="A49" s="22" t="s">
        <v>59</v>
      </c>
      <c r="B49" s="22">
        <v>0</v>
      </c>
      <c r="C49" s="22">
        <v>350</v>
      </c>
      <c r="D49" s="22">
        <v>350</v>
      </c>
    </row>
    <row r="50" spans="1:4" x14ac:dyDescent="0.25">
      <c r="A50" s="22" t="s">
        <v>9</v>
      </c>
      <c r="B50" s="22">
        <v>0</v>
      </c>
      <c r="C50" s="22">
        <v>0</v>
      </c>
      <c r="D50" s="22">
        <v>0</v>
      </c>
    </row>
    <row r="51" spans="1:4" x14ac:dyDescent="0.25">
      <c r="A51" s="22" t="s">
        <v>25</v>
      </c>
      <c r="B51" s="22">
        <f>SUM(B46:B50)</f>
        <v>834.15</v>
      </c>
      <c r="C51" s="22">
        <f>SUM(C46:C50)</f>
        <v>1241.49</v>
      </c>
      <c r="D51" s="22">
        <f>SUM(D46:D50)</f>
        <v>1114.53</v>
      </c>
    </row>
    <row r="52" spans="1:4" x14ac:dyDescent="0.25">
      <c r="A52" s="22" t="s">
        <v>61</v>
      </c>
      <c r="B52" s="22">
        <f>B51*2%</f>
        <v>16.683</v>
      </c>
      <c r="C52" s="22">
        <f>C51*2%</f>
        <v>24.829800000000002</v>
      </c>
      <c r="D52" s="22">
        <f>D51*2%</f>
        <v>22.290600000000001</v>
      </c>
    </row>
    <row r="53" spans="1:4" x14ac:dyDescent="0.25">
      <c r="A53" s="22" t="s">
        <v>55</v>
      </c>
      <c r="B53" s="22">
        <f>B51*6.5%</f>
        <v>54.219749999999998</v>
      </c>
      <c r="C53" s="22">
        <f>C51*6.5%</f>
        <v>80.696849999999998</v>
      </c>
      <c r="D53" s="22">
        <f>D51*6.5%</f>
        <v>72.444450000000003</v>
      </c>
    </row>
    <row r="54" spans="1:4" x14ac:dyDescent="0.25">
      <c r="A54" s="22" t="s">
        <v>63</v>
      </c>
      <c r="B54" s="22">
        <f>SUM(B51:B53)</f>
        <v>905.05274999999995</v>
      </c>
      <c r="C54" s="22">
        <f>SUM(C51:C53)</f>
        <v>1347.01665</v>
      </c>
      <c r="D54" s="22">
        <f>SUM(D51:D53)</f>
        <v>1209.26505</v>
      </c>
    </row>
    <row r="55" spans="1:4" x14ac:dyDescent="0.25">
      <c r="A55" s="38"/>
    </row>
    <row r="56" spans="1:4" x14ac:dyDescent="0.25">
      <c r="A56" t="s">
        <v>37</v>
      </c>
    </row>
    <row r="57" spans="1:4" x14ac:dyDescent="0.25">
      <c r="A57">
        <v>1</v>
      </c>
      <c r="B57" t="s">
        <v>48</v>
      </c>
    </row>
    <row r="58" spans="1:4" x14ac:dyDescent="0.25">
      <c r="A58">
        <v>2</v>
      </c>
      <c r="B58" t="s">
        <v>66</v>
      </c>
    </row>
    <row r="59" spans="1:4" x14ac:dyDescent="0.25">
      <c r="A59">
        <v>3</v>
      </c>
      <c r="B59" t="s">
        <v>51</v>
      </c>
    </row>
    <row r="60" spans="1:4" x14ac:dyDescent="0.25">
      <c r="A60">
        <v>4</v>
      </c>
      <c r="B60" t="s">
        <v>50</v>
      </c>
    </row>
    <row r="61" spans="1:4" x14ac:dyDescent="0.25">
      <c r="A61">
        <v>5</v>
      </c>
      <c r="B61" t="s">
        <v>62</v>
      </c>
    </row>
  </sheetData>
  <mergeCells count="4">
    <mergeCell ref="A1:G2"/>
    <mergeCell ref="A3:B6"/>
    <mergeCell ref="A34:G34"/>
    <mergeCell ref="A44:D44"/>
  </mergeCells>
  <pageMargins left="0.7" right="0.7" top="0.75" bottom="0.75" header="0.3" footer="0.3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 Jha</dc:creator>
  <cp:lastModifiedBy>Ratan Jha</cp:lastModifiedBy>
  <cp:lastPrinted>2025-09-29T16:44:21Z</cp:lastPrinted>
  <dcterms:created xsi:type="dcterms:W3CDTF">2015-06-05T18:17:20Z</dcterms:created>
  <dcterms:modified xsi:type="dcterms:W3CDTF">2026-03-22T07:47:58Z</dcterms:modified>
</cp:coreProperties>
</file>