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khiljha/Library/Mobile Documents/com~apple~CloudDocs/VAGT/"/>
    </mc:Choice>
  </mc:AlternateContent>
  <xr:revisionPtr revIDLastSave="0" documentId="13_ncr:1_{F8A4497A-3EFC-D643-B93F-BD073B141BE8}" xr6:coauthVersionLast="47" xr6:coauthVersionMax="47" xr10:uidLastSave="{00000000-0000-0000-0000-000000000000}"/>
  <bookViews>
    <workbookView xWindow="0" yWindow="740" windowWidth="29400" windowHeight="18380" activeTab="1" xr2:uid="{8EC394C1-CC06-1A49-A161-593389190154}"/>
  </bookViews>
  <sheets>
    <sheet name="Summary" sheetId="1" r:id="rId1"/>
    <sheet name="Cost Breakup - 8 Hours" sheetId="2" r:id="rId2"/>
    <sheet name="Value added servic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2" l="1"/>
  <c r="E27" i="2" s="1"/>
  <c r="E29" i="2" s="1"/>
  <c r="F12" i="2"/>
  <c r="F27" i="2" s="1"/>
  <c r="F29" i="2" s="1"/>
  <c r="D12" i="2"/>
  <c r="D27" i="2"/>
  <c r="D29" i="2" s="1"/>
  <c r="G10" i="1"/>
  <c r="E9" i="2"/>
  <c r="F9" i="2"/>
  <c r="D9" i="2"/>
</calcChain>
</file>

<file path=xl/sharedStrings.xml><?xml version="1.0" encoding="utf-8"?>
<sst xmlns="http://schemas.openxmlformats.org/spreadsheetml/2006/main" count="73" uniqueCount="65">
  <si>
    <t>Wages</t>
  </si>
  <si>
    <t>Bonus</t>
  </si>
  <si>
    <t>Gratuity</t>
  </si>
  <si>
    <t>Rates</t>
  </si>
  <si>
    <t>Security Guard</t>
  </si>
  <si>
    <t>Security Supervisor</t>
  </si>
  <si>
    <t>ASO</t>
  </si>
  <si>
    <t>Basic Wage for 08 Hrs. (26 days)</t>
  </si>
  <si>
    <t>• 0</t>
  </si>
  <si>
    <t>Additional Wages (12 Hrs.)</t>
  </si>
  <si>
    <t>Wages for (26 Days)</t>
  </si>
  <si>
    <t>Washing Allowance</t>
  </si>
  <si>
    <t>Skill Allowance</t>
  </si>
  <si>
    <t>Gross Salary (8 Hrs. &amp; 26 Days)</t>
  </si>
  <si>
    <t>PF on Salary</t>
  </si>
  <si>
    <t>ESI/Medical/WC (on Gross Salary)</t>
  </si>
  <si>
    <t>Leave on Basic Salary</t>
  </si>
  <si>
    <t>NFH on Basic Salary</t>
  </si>
  <si>
    <t>Labor Welfare Fund/Similar Fund</t>
  </si>
  <si>
    <t>Kitting Subsidy</t>
  </si>
  <si>
    <t>Reliever Charges</t>
  </si>
  <si>
    <t>Services Charges</t>
  </si>
  <si>
    <t>Grand Total</t>
  </si>
  <si>
    <t>Monthly Payments</t>
  </si>
  <si>
    <t>VAGT SS Cost Break Up - Whitefield Zone</t>
  </si>
  <si>
    <t>8 Hours Duty</t>
  </si>
  <si>
    <t>Description</t>
  </si>
  <si>
    <t>%</t>
  </si>
  <si>
    <t>8 Hrs &amp; 26 Days</t>
  </si>
  <si>
    <t>DA</t>
  </si>
  <si>
    <t>Subtotal -1</t>
  </si>
  <si>
    <t>Allowances</t>
  </si>
  <si>
    <t>Subtotal -2</t>
  </si>
  <si>
    <t>Statutories</t>
  </si>
  <si>
    <t>Fixed</t>
  </si>
  <si>
    <t>Subtotal - 3</t>
  </si>
  <si>
    <t>Rates Per Hour</t>
  </si>
  <si>
    <t>Others</t>
  </si>
  <si>
    <t>Summary - 8 hours Deployment, Whitefield Bangalore</t>
  </si>
  <si>
    <t>S No</t>
  </si>
  <si>
    <t>Location</t>
  </si>
  <si>
    <t>Designation</t>
  </si>
  <si>
    <t>Cost Per Month/ Man</t>
  </si>
  <si>
    <t>Total Billing</t>
  </si>
  <si>
    <t>Kadugodi</t>
  </si>
  <si>
    <t>Assignment Security Officer</t>
  </si>
  <si>
    <t>Deployment Nos</t>
  </si>
  <si>
    <t>• The prices are subject to change with a change in minimum wages as notified by respective authorities.</t>
  </si>
  <si>
    <t>• Training will be conducted as per PSARA guidelines.</t>
  </si>
  <si>
    <t>• In case of any specific requirements, it will be charged over and above at mutually agreed costs.</t>
  </si>
  <si>
    <t>• The prices quoted are for 26 days, and billing will be done on actual deployment.</t>
  </si>
  <si>
    <r>
      <t>Additional Notes</t>
    </r>
    <r>
      <rPr>
        <sz val="15"/>
        <color theme="1"/>
        <rFont val="Arial"/>
        <family val="2"/>
      </rPr>
      <t>:</t>
    </r>
  </si>
  <si>
    <t>Total (In Rupee)</t>
  </si>
  <si>
    <t>Following are the value added services that we will provide as part of our service.</t>
  </si>
  <si>
    <t xml:space="preserve">• We value our employees. This is reflected in our Diwali bonus program and our commitment to timely salary payments on fixed dates each month </t>
  </si>
  <si>
    <t>Training - Induction</t>
  </si>
  <si>
    <t>Complimentary</t>
  </si>
  <si>
    <t>Winter Clothing</t>
  </si>
  <si>
    <t>Supervision Charged</t>
  </si>
  <si>
    <t>CCTV Specialised training to guards</t>
  </si>
  <si>
    <t>City Alertness in Crisis situations</t>
  </si>
  <si>
    <r>
      <t>1. Regular Risk Assessment:</t>
    </r>
    <r>
      <rPr>
        <sz val="16"/>
        <color theme="1"/>
        <rFont val="Aptos Narrow"/>
        <family val="2"/>
        <scheme val="minor"/>
      </rPr>
      <t xml:space="preserve"> Conduct bi-annual site risk assessments to proactively identify and mitigate potential threats.</t>
    </r>
  </si>
  <si>
    <r>
      <t>2. Community Policing:</t>
    </r>
    <r>
      <rPr>
        <sz val="16"/>
        <color theme="1"/>
        <rFont val="Aptos Narrow"/>
        <family val="2"/>
        <scheme val="minor"/>
      </rPr>
      <t xml:space="preserve"> Maintain close liaison with the nearest police station and coordinate nightly patrols as needed to enhance site security.</t>
    </r>
  </si>
  <si>
    <r>
      <t>3. Personnel Protection:</t>
    </r>
    <r>
      <rPr>
        <sz val="16"/>
        <color theme="1"/>
        <rFont val="Aptos Narrow"/>
        <family val="2"/>
        <scheme val="minor"/>
      </rPr>
      <t xml:space="preserve"> Provide individual insurance coverage to personnel deployed at the site to ensure their well-being and financial security in case of unforeseen incidents.</t>
    </r>
  </si>
  <si>
    <r>
      <t>4. Staff Retention:</t>
    </r>
    <r>
      <rPr>
        <sz val="16"/>
        <color theme="1"/>
        <rFont val="Aptos Narrow"/>
        <family val="2"/>
        <scheme val="minor"/>
      </rPr>
      <t xml:space="preserve"> Retain existing staff to ensure continuity of service delivery and minimize disruption to operations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</si>
</sst>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mplitudetf"/>
    </font>
    <font>
      <sz val="8"/>
      <name val="Aptos Narrow"/>
      <family val="2"/>
      <scheme val="minor"/>
    </font>
    <font>
      <sz val="14"/>
      <color theme="1"/>
      <name val="Arial"/>
      <family val="2"/>
    </font>
    <font>
      <sz val="16"/>
      <color theme="1"/>
      <name val="Arial"/>
      <family val="2"/>
    </font>
    <font>
      <sz val="15"/>
      <color theme="1"/>
      <name val="Arial"/>
      <family val="2"/>
    </font>
    <font>
      <b/>
      <sz val="15"/>
      <color theme="1"/>
      <name val="Arial"/>
      <family val="2"/>
    </font>
    <font>
      <sz val="16"/>
      <color theme="1"/>
      <name val="Aptos Narrow"/>
      <family val="2"/>
      <scheme val="minor"/>
    </font>
    <font>
      <u/>
      <sz val="1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mplitudetf"/>
    </font>
    <font>
      <sz val="16"/>
      <color theme="0"/>
      <name val="Arial"/>
      <family val="2"/>
    </font>
    <font>
      <sz val="14"/>
      <color theme="0"/>
      <name val="Amplitudetf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8">
    <xf numFmtId="0" fontId="0" fillId="0" borderId="0" xfId="0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 wrapText="1"/>
    </xf>
    <xf numFmtId="0" fontId="4" fillId="4" borderId="1" xfId="0" applyFont="1" applyFill="1" applyBorder="1" applyAlignment="1">
      <alignment vertical="center" wrapText="1"/>
    </xf>
    <xf numFmtId="0" fontId="7" fillId="0" borderId="0" xfId="0" applyFont="1"/>
    <xf numFmtId="0" fontId="6" fillId="0" borderId="0" xfId="0" applyFont="1"/>
    <xf numFmtId="0" fontId="5" fillId="4" borderId="1" xfId="0" applyFont="1" applyFill="1" applyBorder="1" applyAlignment="1">
      <alignment vertical="center" wrapText="1"/>
    </xf>
    <xf numFmtId="0" fontId="9" fillId="0" borderId="0" xfId="0" applyFont="1"/>
    <xf numFmtId="0" fontId="10" fillId="0" borderId="0" xfId="0" applyFont="1"/>
    <xf numFmtId="0" fontId="5" fillId="4" borderId="2" xfId="0" applyFont="1" applyFill="1" applyBorder="1" applyAlignment="1">
      <alignment horizontal="center" vertical="top"/>
    </xf>
    <xf numFmtId="0" fontId="5" fillId="4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top"/>
    </xf>
    <xf numFmtId="0" fontId="5" fillId="4" borderId="2" xfId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top"/>
    </xf>
    <xf numFmtId="3" fontId="5" fillId="0" borderId="2" xfId="0" applyNumberFormat="1" applyFont="1" applyBorder="1" applyAlignment="1">
      <alignment horizontal="center" vertical="top"/>
    </xf>
    <xf numFmtId="0" fontId="5" fillId="3" borderId="2" xfId="0" applyFont="1" applyFill="1" applyBorder="1" applyAlignment="1">
      <alignment horizontal="center" vertical="top" wrapText="1"/>
    </xf>
    <xf numFmtId="3" fontId="5" fillId="4" borderId="2" xfId="0" applyNumberFormat="1" applyFont="1" applyFill="1" applyBorder="1" applyAlignment="1">
      <alignment horizontal="center" vertical="top"/>
    </xf>
    <xf numFmtId="10" fontId="5" fillId="0" borderId="2" xfId="0" applyNumberFormat="1" applyFont="1" applyBorder="1"/>
    <xf numFmtId="9" fontId="5" fillId="0" borderId="2" xfId="0" applyNumberFormat="1" applyFont="1" applyBorder="1" applyAlignment="1">
      <alignment horizontal="center" vertical="top"/>
    </xf>
    <xf numFmtId="0" fontId="5" fillId="3" borderId="2" xfId="0" applyFont="1" applyFill="1" applyBorder="1" applyAlignment="1">
      <alignment horizontal="left" vertical="top" wrapText="1"/>
    </xf>
    <xf numFmtId="0" fontId="12" fillId="5" borderId="2" xfId="0" applyFont="1" applyFill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11" fillId="4" borderId="6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top"/>
    </xf>
    <xf numFmtId="0" fontId="13" fillId="5" borderId="8" xfId="0" applyFont="1" applyFill="1" applyBorder="1" applyAlignment="1">
      <alignment horizontal="center" vertical="top"/>
    </xf>
    <xf numFmtId="0" fontId="5" fillId="4" borderId="9" xfId="1" applyFont="1" applyFill="1" applyBorder="1" applyAlignment="1">
      <alignment horizontal="left" vertical="center" wrapText="1"/>
    </xf>
    <xf numFmtId="0" fontId="5" fillId="0" borderId="9" xfId="0" applyFont="1" applyBorder="1" applyAlignment="1">
      <alignment horizontal="left" vertical="top" wrapText="1"/>
    </xf>
    <xf numFmtId="0" fontId="5" fillId="4" borderId="9" xfId="0" applyFont="1" applyFill="1" applyBorder="1" applyAlignment="1">
      <alignment horizontal="left" vertical="top" wrapText="1"/>
    </xf>
    <xf numFmtId="0" fontId="5" fillId="4" borderId="9" xfId="0" applyFont="1" applyFill="1" applyBorder="1" applyAlignment="1">
      <alignment horizontal="left" vertical="center" wrapText="1"/>
    </xf>
    <xf numFmtId="0" fontId="5" fillId="4" borderId="9" xfId="0" applyFont="1" applyFill="1" applyBorder="1" applyAlignment="1">
      <alignment horizontal="center" vertical="top"/>
    </xf>
    <xf numFmtId="0" fontId="12" fillId="5" borderId="10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</cellXfs>
  <cellStyles count="2">
    <cellStyle name="40% - Accent3" xfId="1" builtinId="3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89F40-45AA-AC4D-B2E4-E7DA5316EC2E}">
  <dimension ref="B5:G18"/>
  <sheetViews>
    <sheetView workbookViewId="0">
      <selection activeCell="G9" sqref="G9"/>
    </sheetView>
  </sheetViews>
  <sheetFormatPr baseColWidth="10" defaultRowHeight="16"/>
  <cols>
    <col min="2" max="2" width="5.1640625" customWidth="1"/>
    <col min="3" max="3" width="18.83203125" customWidth="1"/>
    <col min="4" max="4" width="22.83203125" customWidth="1"/>
    <col min="5" max="5" width="26.5" customWidth="1"/>
    <col min="6" max="6" width="21" customWidth="1"/>
    <col min="7" max="7" width="15.6640625" customWidth="1"/>
  </cols>
  <sheetData>
    <row r="5" spans="2:7" ht="20">
      <c r="B5" s="32" t="s">
        <v>38</v>
      </c>
      <c r="C5" s="32"/>
      <c r="D5" s="32"/>
      <c r="E5" s="32"/>
      <c r="F5" s="32"/>
      <c r="G5" s="32"/>
    </row>
    <row r="6" spans="2:7" ht="42">
      <c r="B6" s="6" t="s">
        <v>39</v>
      </c>
      <c r="C6" s="6" t="s">
        <v>40</v>
      </c>
      <c r="D6" s="6" t="s">
        <v>41</v>
      </c>
      <c r="E6" s="6" t="s">
        <v>46</v>
      </c>
      <c r="F6" s="6" t="s">
        <v>42</v>
      </c>
      <c r="G6" s="6" t="s">
        <v>43</v>
      </c>
    </row>
    <row r="7" spans="2:7" ht="21">
      <c r="B7" s="6">
        <v>1</v>
      </c>
      <c r="C7" s="33" t="s">
        <v>44</v>
      </c>
      <c r="D7" s="6" t="s">
        <v>4</v>
      </c>
      <c r="E7" s="6">
        <v>1</v>
      </c>
      <c r="F7" s="6">
        <v>38017</v>
      </c>
      <c r="G7" s="6">
        <v>38017</v>
      </c>
    </row>
    <row r="8" spans="2:7" ht="42">
      <c r="B8" s="6">
        <v>2</v>
      </c>
      <c r="C8" s="33"/>
      <c r="D8" s="6" t="s">
        <v>5</v>
      </c>
      <c r="E8" s="6">
        <v>1</v>
      </c>
      <c r="F8" s="6">
        <v>40662</v>
      </c>
      <c r="G8" s="6">
        <v>42662</v>
      </c>
    </row>
    <row r="9" spans="2:7" ht="42">
      <c r="B9" s="6">
        <v>3</v>
      </c>
      <c r="C9" s="33"/>
      <c r="D9" s="6" t="s">
        <v>45</v>
      </c>
      <c r="E9" s="6">
        <v>1</v>
      </c>
      <c r="F9" s="6">
        <v>52856</v>
      </c>
      <c r="G9" s="6">
        <v>52856</v>
      </c>
    </row>
    <row r="10" spans="2:7" ht="20">
      <c r="B10" s="6"/>
      <c r="C10" s="3" t="s">
        <v>52</v>
      </c>
      <c r="D10" s="6"/>
      <c r="E10" s="6">
        <v>3</v>
      </c>
      <c r="F10" s="6"/>
      <c r="G10" s="6">
        <f>SUM(G7:G9)</f>
        <v>133535</v>
      </c>
    </row>
    <row r="13" spans="2:7" ht="19">
      <c r="B13" s="4" t="s">
        <v>51</v>
      </c>
    </row>
    <row r="14" spans="2:7" ht="19">
      <c r="B14" s="5" t="s">
        <v>50</v>
      </c>
    </row>
    <row r="15" spans="2:7" ht="19">
      <c r="B15" s="5" t="s">
        <v>47</v>
      </c>
    </row>
    <row r="16" spans="2:7" ht="19">
      <c r="B16" s="5" t="s">
        <v>48</v>
      </c>
    </row>
    <row r="17" spans="2:2" ht="19">
      <c r="B17" s="5" t="s">
        <v>49</v>
      </c>
    </row>
    <row r="18" spans="2:2" ht="19">
      <c r="B18" s="5" t="s">
        <v>54</v>
      </c>
    </row>
  </sheetData>
  <mergeCells count="2">
    <mergeCell ref="B5:G5"/>
    <mergeCell ref="C7:C9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92A34-89E7-4D47-9040-BC4B4F705D8A}">
  <dimension ref="A1:G30"/>
  <sheetViews>
    <sheetView tabSelected="1" topLeftCell="A13" workbookViewId="0">
      <selection activeCell="J8" sqref="J8"/>
    </sheetView>
  </sheetViews>
  <sheetFormatPr baseColWidth="10" defaultRowHeight="18"/>
  <cols>
    <col min="1" max="1" width="20" style="1" bestFit="1" customWidth="1"/>
    <col min="2" max="2" width="29.1640625" style="2" bestFit="1" customWidth="1"/>
    <col min="3" max="3" width="10.5" style="1" bestFit="1" customWidth="1"/>
    <col min="4" max="4" width="14" style="1" bestFit="1" customWidth="1"/>
    <col min="5" max="5" width="14.33203125" style="1" bestFit="1" customWidth="1"/>
    <col min="6" max="6" width="17.5" style="1" customWidth="1"/>
    <col min="7" max="7" width="17.33203125" style="1" customWidth="1"/>
    <col min="8" max="16384" width="10.83203125" style="1"/>
  </cols>
  <sheetData>
    <row r="1" spans="1:7" ht="19" thickBot="1"/>
    <row r="2" spans="1:7">
      <c r="A2" s="35" t="s">
        <v>25</v>
      </c>
      <c r="B2" s="36"/>
      <c r="C2" s="36" t="s">
        <v>24</v>
      </c>
      <c r="D2" s="36"/>
      <c r="E2" s="36"/>
      <c r="F2" s="36"/>
      <c r="G2" s="21"/>
    </row>
    <row r="3" spans="1:7">
      <c r="A3" s="37"/>
      <c r="B3" s="34"/>
      <c r="C3" s="34"/>
      <c r="D3" s="34"/>
      <c r="E3" s="34"/>
      <c r="F3" s="34"/>
      <c r="G3" s="22"/>
    </row>
    <row r="4" spans="1:7" ht="42">
      <c r="A4" s="11"/>
      <c r="B4" s="26" t="s">
        <v>26</v>
      </c>
      <c r="C4" s="12" t="s">
        <v>3</v>
      </c>
      <c r="D4" s="12" t="s">
        <v>4</v>
      </c>
      <c r="E4" s="12" t="s">
        <v>5</v>
      </c>
      <c r="F4" s="12" t="s">
        <v>6</v>
      </c>
      <c r="G4" s="22"/>
    </row>
    <row r="5" spans="1:7" ht="42">
      <c r="A5" s="11"/>
      <c r="B5" s="26" t="s">
        <v>23</v>
      </c>
      <c r="C5" s="12" t="s">
        <v>27</v>
      </c>
      <c r="D5" s="12" t="s">
        <v>28</v>
      </c>
      <c r="E5" s="12" t="s">
        <v>28</v>
      </c>
      <c r="F5" s="12" t="s">
        <v>28</v>
      </c>
      <c r="G5" s="22"/>
    </row>
    <row r="6" spans="1:7" ht="42">
      <c r="A6" s="34" t="s">
        <v>0</v>
      </c>
      <c r="B6" s="27" t="s">
        <v>7</v>
      </c>
      <c r="C6" s="13"/>
      <c r="D6" s="14">
        <v>15742</v>
      </c>
      <c r="E6" s="14">
        <v>16058</v>
      </c>
      <c r="F6" s="14">
        <v>16058</v>
      </c>
      <c r="G6" s="22"/>
    </row>
    <row r="7" spans="1:7" ht="21">
      <c r="A7" s="34"/>
      <c r="B7" s="27" t="s">
        <v>29</v>
      </c>
      <c r="C7" s="13"/>
      <c r="D7" s="14">
        <v>2224</v>
      </c>
      <c r="E7" s="13">
        <v>2224</v>
      </c>
      <c r="F7" s="13">
        <v>2224</v>
      </c>
      <c r="G7" s="22"/>
    </row>
    <row r="8" spans="1:7" ht="42">
      <c r="A8" s="11"/>
      <c r="B8" s="27" t="s">
        <v>9</v>
      </c>
      <c r="C8" s="13"/>
      <c r="D8" s="13">
        <v>0</v>
      </c>
      <c r="E8" s="13">
        <v>0</v>
      </c>
      <c r="F8" s="13" t="s">
        <v>8</v>
      </c>
      <c r="G8" s="22"/>
    </row>
    <row r="9" spans="1:7" ht="21">
      <c r="A9" s="15" t="s">
        <v>30</v>
      </c>
      <c r="B9" s="28" t="s">
        <v>10</v>
      </c>
      <c r="C9" s="9"/>
      <c r="D9" s="16">
        <f>SUM(D6:D7)</f>
        <v>17966</v>
      </c>
      <c r="E9" s="16">
        <f t="shared" ref="E9:F9" si="0">SUM(E6:E7)</f>
        <v>18282</v>
      </c>
      <c r="F9" s="16">
        <f t="shared" si="0"/>
        <v>18282</v>
      </c>
      <c r="G9" s="22"/>
    </row>
    <row r="10" spans="1:7" ht="21">
      <c r="A10" s="34" t="s">
        <v>31</v>
      </c>
      <c r="B10" s="27" t="s">
        <v>11</v>
      </c>
      <c r="C10" s="13"/>
      <c r="D10" s="13">
        <v>300</v>
      </c>
      <c r="E10" s="13">
        <v>300</v>
      </c>
      <c r="F10" s="13">
        <v>300</v>
      </c>
      <c r="G10" s="22"/>
    </row>
    <row r="11" spans="1:7" ht="21">
      <c r="A11" s="34"/>
      <c r="B11" s="27" t="s">
        <v>12</v>
      </c>
      <c r="C11" s="13"/>
      <c r="D11" s="13">
        <v>4000</v>
      </c>
      <c r="E11" s="13">
        <v>7000</v>
      </c>
      <c r="F11" s="13">
        <v>14000</v>
      </c>
      <c r="G11" s="22"/>
    </row>
    <row r="12" spans="1:7" ht="42">
      <c r="A12" s="11" t="s">
        <v>32</v>
      </c>
      <c r="B12" s="28" t="s">
        <v>13</v>
      </c>
      <c r="C12" s="9"/>
      <c r="D12" s="16">
        <f>SUM(D9:D11)</f>
        <v>22266</v>
      </c>
      <c r="E12" s="16">
        <f>SUM(E9:E11)</f>
        <v>25582</v>
      </c>
      <c r="F12" s="16">
        <f>SUM(F9:F11)</f>
        <v>32582</v>
      </c>
      <c r="G12" s="22"/>
    </row>
    <row r="13" spans="1:7" ht="21">
      <c r="A13" s="34" t="s">
        <v>33</v>
      </c>
      <c r="B13" s="27" t="s">
        <v>14</v>
      </c>
      <c r="C13" s="17">
        <v>0.13</v>
      </c>
      <c r="D13" s="13">
        <v>3025</v>
      </c>
      <c r="E13" s="13">
        <v>3196</v>
      </c>
      <c r="F13" s="13">
        <v>3937</v>
      </c>
      <c r="G13" s="22"/>
    </row>
    <row r="14" spans="1:7" ht="42">
      <c r="A14" s="34"/>
      <c r="B14" s="27" t="s">
        <v>15</v>
      </c>
      <c r="C14" s="17">
        <v>3.2500000000000001E-2</v>
      </c>
      <c r="D14" s="13">
        <v>756</v>
      </c>
      <c r="E14" s="13">
        <v>799</v>
      </c>
      <c r="F14" s="13">
        <v>984</v>
      </c>
      <c r="G14" s="22"/>
    </row>
    <row r="15" spans="1:7" ht="21">
      <c r="A15" s="34"/>
      <c r="B15" s="27" t="s">
        <v>16</v>
      </c>
      <c r="C15" s="17">
        <v>5.8099999999999999E-2</v>
      </c>
      <c r="D15" s="13">
        <v>1044</v>
      </c>
      <c r="E15" s="13">
        <v>1062</v>
      </c>
      <c r="F15" s="13">
        <v>1062</v>
      </c>
      <c r="G15" s="22"/>
    </row>
    <row r="16" spans="1:7" ht="21">
      <c r="A16" s="34"/>
      <c r="B16" s="27" t="s">
        <v>17</v>
      </c>
      <c r="C16" s="17">
        <v>3.2099999999999997E-2</v>
      </c>
      <c r="D16" s="13">
        <v>505</v>
      </c>
      <c r="E16" s="13">
        <v>879</v>
      </c>
      <c r="F16" s="13">
        <v>879</v>
      </c>
      <c r="G16" s="22"/>
    </row>
    <row r="17" spans="1:7" ht="21">
      <c r="A17" s="34"/>
      <c r="B17" s="27" t="s">
        <v>1</v>
      </c>
      <c r="C17" s="17">
        <v>8.3299999999999999E-2</v>
      </c>
      <c r="D17" s="13">
        <v>1497</v>
      </c>
      <c r="E17" s="13">
        <v>1523</v>
      </c>
      <c r="F17" s="13">
        <v>1523</v>
      </c>
      <c r="G17" s="22"/>
    </row>
    <row r="18" spans="1:7" ht="21">
      <c r="A18" s="34"/>
      <c r="B18" s="27" t="s">
        <v>2</v>
      </c>
      <c r="C18" s="17">
        <v>4.8099999999999997E-2</v>
      </c>
      <c r="D18" s="13">
        <v>864</v>
      </c>
      <c r="E18" s="13">
        <v>879</v>
      </c>
      <c r="F18" s="13">
        <v>879</v>
      </c>
      <c r="G18" s="22"/>
    </row>
    <row r="19" spans="1:7" ht="42">
      <c r="A19" s="34"/>
      <c r="B19" s="27" t="s">
        <v>18</v>
      </c>
      <c r="C19" s="13"/>
      <c r="D19" s="13">
        <v>40</v>
      </c>
      <c r="E19" s="13">
        <v>40</v>
      </c>
      <c r="F19" s="13">
        <v>40</v>
      </c>
      <c r="G19" s="22"/>
    </row>
    <row r="20" spans="1:7" ht="21">
      <c r="A20" s="34" t="s">
        <v>37</v>
      </c>
      <c r="B20" s="27" t="s">
        <v>19</v>
      </c>
      <c r="C20" s="13" t="s">
        <v>34</v>
      </c>
      <c r="D20" s="13">
        <v>300</v>
      </c>
      <c r="E20" s="13">
        <v>500</v>
      </c>
      <c r="F20" s="13">
        <v>600</v>
      </c>
      <c r="G20" s="22"/>
    </row>
    <row r="21" spans="1:7" ht="42">
      <c r="A21" s="34"/>
      <c r="B21" s="29" t="s">
        <v>57</v>
      </c>
      <c r="C21" s="10"/>
      <c r="D21" s="10">
        <v>0</v>
      </c>
      <c r="E21" s="10">
        <v>0</v>
      </c>
      <c r="F21" s="10">
        <v>0</v>
      </c>
      <c r="G21" s="23" t="s">
        <v>56</v>
      </c>
    </row>
    <row r="22" spans="1:7" ht="42">
      <c r="A22" s="34"/>
      <c r="B22" s="29" t="s">
        <v>58</v>
      </c>
      <c r="C22" s="10"/>
      <c r="D22" s="10">
        <v>0</v>
      </c>
      <c r="E22" s="10">
        <v>0</v>
      </c>
      <c r="F22" s="10">
        <v>0</v>
      </c>
      <c r="G22" s="23" t="s">
        <v>56</v>
      </c>
    </row>
    <row r="23" spans="1:7" ht="42">
      <c r="A23" s="34"/>
      <c r="B23" s="29" t="s">
        <v>60</v>
      </c>
      <c r="C23" s="10"/>
      <c r="D23" s="10">
        <v>0</v>
      </c>
      <c r="E23" s="10">
        <v>0</v>
      </c>
      <c r="F23" s="10">
        <v>0</v>
      </c>
      <c r="G23" s="23" t="s">
        <v>56</v>
      </c>
    </row>
    <row r="24" spans="1:7" ht="42">
      <c r="A24" s="34"/>
      <c r="B24" s="29" t="s">
        <v>59</v>
      </c>
      <c r="C24" s="10"/>
      <c r="D24" s="10">
        <v>0</v>
      </c>
      <c r="E24" s="10">
        <v>0</v>
      </c>
      <c r="F24" s="10">
        <v>0</v>
      </c>
      <c r="G24" s="23" t="s">
        <v>56</v>
      </c>
    </row>
    <row r="25" spans="1:7" ht="42">
      <c r="A25" s="34"/>
      <c r="B25" s="29" t="s">
        <v>55</v>
      </c>
      <c r="C25" s="10"/>
      <c r="D25" s="10">
        <v>0</v>
      </c>
      <c r="E25" s="10">
        <v>0</v>
      </c>
      <c r="F25" s="10">
        <v>0</v>
      </c>
      <c r="G25" s="23" t="s">
        <v>56</v>
      </c>
    </row>
    <row r="26" spans="1:7" ht="21">
      <c r="A26" s="34"/>
      <c r="B26" s="27" t="s">
        <v>20</v>
      </c>
      <c r="C26" s="13"/>
      <c r="D26" s="13">
        <v>4875</v>
      </c>
      <c r="E26" s="13">
        <v>5220</v>
      </c>
      <c r="F26" s="13">
        <v>6810</v>
      </c>
      <c r="G26" s="22"/>
    </row>
    <row r="27" spans="1:7" ht="20">
      <c r="A27" s="11" t="s">
        <v>35</v>
      </c>
      <c r="B27" s="28"/>
      <c r="C27" s="9"/>
      <c r="D27" s="16">
        <f>SUM(D12:D26)</f>
        <v>35172</v>
      </c>
      <c r="E27" s="16">
        <f>SUM(E12:E26)</f>
        <v>39680</v>
      </c>
      <c r="F27" s="16">
        <f>SUM(F12:F26)</f>
        <v>49296</v>
      </c>
      <c r="G27" s="22"/>
    </row>
    <row r="28" spans="1:7" ht="21">
      <c r="A28" s="11"/>
      <c r="B28" s="27" t="s">
        <v>21</v>
      </c>
      <c r="C28" s="18">
        <v>0.08</v>
      </c>
      <c r="D28" s="13">
        <v>2845</v>
      </c>
      <c r="E28" s="13">
        <v>2982</v>
      </c>
      <c r="F28" s="13">
        <v>3560</v>
      </c>
      <c r="G28" s="22"/>
    </row>
    <row r="29" spans="1:7" ht="21">
      <c r="A29" s="19" t="s">
        <v>22</v>
      </c>
      <c r="B29" s="30"/>
      <c r="C29" s="9"/>
      <c r="D29" s="9">
        <f>SUM(D27:D28)</f>
        <v>38017</v>
      </c>
      <c r="E29" s="16">
        <f>SUM(E27:E28)</f>
        <v>42662</v>
      </c>
      <c r="F29" s="16">
        <f>SUM(F27:F28)</f>
        <v>52856</v>
      </c>
      <c r="G29" s="22"/>
    </row>
    <row r="30" spans="1:7" ht="21" thickBot="1">
      <c r="A30" s="20" t="s">
        <v>36</v>
      </c>
      <c r="B30" s="31"/>
      <c r="C30" s="24"/>
      <c r="D30" s="24">
        <v>169</v>
      </c>
      <c r="E30" s="24">
        <v>191</v>
      </c>
      <c r="F30" s="24">
        <v>237</v>
      </c>
      <c r="G30" s="25"/>
    </row>
  </sheetData>
  <mergeCells count="6">
    <mergeCell ref="A13:A19"/>
    <mergeCell ref="A20:A26"/>
    <mergeCell ref="A2:B3"/>
    <mergeCell ref="C2:F3"/>
    <mergeCell ref="A6:A7"/>
    <mergeCell ref="A10:A11"/>
  </mergeCells>
  <phoneticPr fontId="3" type="noConversion"/>
  <conditionalFormatting sqref="B4:F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80830-AD7C-0A40-B491-C5C706CC2F4F}">
  <dimension ref="B3:B8"/>
  <sheetViews>
    <sheetView workbookViewId="0">
      <selection activeCell="F24" sqref="F24"/>
    </sheetView>
  </sheetViews>
  <sheetFormatPr baseColWidth="10" defaultRowHeight="16"/>
  <cols>
    <col min="2" max="2" width="17.33203125" customWidth="1"/>
  </cols>
  <sheetData>
    <row r="3" spans="2:2" ht="24">
      <c r="B3" s="7" t="s">
        <v>53</v>
      </c>
    </row>
    <row r="5" spans="2:2" ht="22">
      <c r="B5" s="8" t="s">
        <v>61</v>
      </c>
    </row>
    <row r="6" spans="2:2" ht="22">
      <c r="B6" s="8" t="s">
        <v>62</v>
      </c>
    </row>
    <row r="7" spans="2:2" ht="22">
      <c r="B7" s="8" t="s">
        <v>63</v>
      </c>
    </row>
    <row r="8" spans="2:2" ht="22">
      <c r="B8" s="8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Cost Breakup - 8 Hours</vt:lpstr>
      <vt:lpstr>Value added services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jha</dc:creator>
  <cp:lastModifiedBy>nikhil jha</cp:lastModifiedBy>
  <cp:lastPrinted>2025-01-01T23:07:00Z</cp:lastPrinted>
  <dcterms:created xsi:type="dcterms:W3CDTF">2025-01-01T21:40:06Z</dcterms:created>
  <dcterms:modified xsi:type="dcterms:W3CDTF">2025-01-13T10:27:00Z</dcterms:modified>
</cp:coreProperties>
</file>