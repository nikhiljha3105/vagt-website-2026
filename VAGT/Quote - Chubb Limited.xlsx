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hiljha/Library/Mobile Documents/com~apple~CloudDocs/VAGT/"/>
    </mc:Choice>
  </mc:AlternateContent>
  <xr:revisionPtr revIDLastSave="0" documentId="13_ncr:1_{6AE0C0EA-9BDB-244C-B394-F860F051900A}" xr6:coauthVersionLast="47" xr6:coauthVersionMax="47" xr10:uidLastSave="{00000000-0000-0000-0000-000000000000}"/>
  <bookViews>
    <workbookView xWindow="0" yWindow="720" windowWidth="29400" windowHeight="18400" activeTab="1" xr2:uid="{8EC394C1-CC06-1A49-A161-593389190154}"/>
  </bookViews>
  <sheets>
    <sheet name="Summary" sheetId="1" r:id="rId1"/>
    <sheet name="Cost Breakup - 8 Hou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E24" i="2"/>
  <c r="F24" i="2"/>
  <c r="D24" i="2"/>
  <c r="E9" i="2"/>
  <c r="F9" i="2"/>
  <c r="D9" i="2"/>
  <c r="F12" i="2" l="1"/>
  <c r="E12" i="2"/>
  <c r="D12" i="2"/>
</calcChain>
</file>

<file path=xl/sharedStrings.xml><?xml version="1.0" encoding="utf-8"?>
<sst xmlns="http://schemas.openxmlformats.org/spreadsheetml/2006/main" count="58" uniqueCount="54">
  <si>
    <t>Wages</t>
  </si>
  <si>
    <t>Bonus</t>
  </si>
  <si>
    <t>Gratuity</t>
  </si>
  <si>
    <t>Rates</t>
  </si>
  <si>
    <t>Security Guard</t>
  </si>
  <si>
    <t>Security Supervisor</t>
  </si>
  <si>
    <t>ASO</t>
  </si>
  <si>
    <t>Basic Wage for 08 Hrs. (26 days)</t>
  </si>
  <si>
    <t>• 0</t>
  </si>
  <si>
    <t>• 300</t>
  </si>
  <si>
    <t>Additional Wages (12 Hrs.)</t>
  </si>
  <si>
    <t>Wages for (26 Days)</t>
  </si>
  <si>
    <t>Washing Allowance</t>
  </si>
  <si>
    <t>Skill Allowance</t>
  </si>
  <si>
    <t>Gross Salary (8 Hrs. &amp; 26 Days)</t>
  </si>
  <si>
    <t>PF on Salary</t>
  </si>
  <si>
    <t>ESI/Medical/WC (on Gross Salary)</t>
  </si>
  <si>
    <t>Leave on Basic Salary</t>
  </si>
  <si>
    <t>NFH on Basic Salary</t>
  </si>
  <si>
    <t>Labor Welfare Fund/Similar Fund</t>
  </si>
  <si>
    <t>Kitting Subsidy</t>
  </si>
  <si>
    <t>Reliever Charges</t>
  </si>
  <si>
    <t>Services Charges</t>
  </si>
  <si>
    <t>Grand Total</t>
  </si>
  <si>
    <t>Monthly Payments</t>
  </si>
  <si>
    <t>VAGT SS Cost Break Up - Whitefield Zone</t>
  </si>
  <si>
    <t>8 Hours Duty</t>
  </si>
  <si>
    <t>Description</t>
  </si>
  <si>
    <t>%</t>
  </si>
  <si>
    <t>8 Hrs &amp; 26 Days</t>
  </si>
  <si>
    <t>DA</t>
  </si>
  <si>
    <t>Subtotal -1</t>
  </si>
  <si>
    <t>Allowances</t>
  </si>
  <si>
    <t>Subtotal -2</t>
  </si>
  <si>
    <t>Statutories</t>
  </si>
  <si>
    <t>Fixed</t>
  </si>
  <si>
    <t>Subtotal - 3</t>
  </si>
  <si>
    <t>Rates Per Hour</t>
  </si>
  <si>
    <t>Others</t>
  </si>
  <si>
    <t>Summary - 8 hours Deployment, Whitefield Bangalore</t>
  </si>
  <si>
    <t>S No</t>
  </si>
  <si>
    <t>Location</t>
  </si>
  <si>
    <t>Designation</t>
  </si>
  <si>
    <t>Cost Per Month/ Man</t>
  </si>
  <si>
    <t>Total Billing</t>
  </si>
  <si>
    <t>Kadugodi</t>
  </si>
  <si>
    <t>Assignment Security Officer</t>
  </si>
  <si>
    <t>Deployment Nos</t>
  </si>
  <si>
    <t>• The prices are subject to change with a change in minimum wages as notified by respective authorities.</t>
  </si>
  <si>
    <t>• Training will be conducted as per PSARA guidelines.</t>
  </si>
  <si>
    <t>• In case of any specific requirements, it will be charged over and above at mutually agreed costs.</t>
  </si>
  <si>
    <t>• The prices quoted are for 26 days, and billing will be done on actual deployment.</t>
  </si>
  <si>
    <r>
      <t>Additional Notes</t>
    </r>
    <r>
      <rPr>
        <sz val="15"/>
        <color theme="1"/>
        <rFont val="Arial"/>
        <family val="2"/>
      </rPr>
      <t>:</t>
    </r>
  </si>
  <si>
    <t>Total (In Rupee)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</si>
</sst>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mplitudetf"/>
    </font>
    <font>
      <sz val="8"/>
      <name val="Aptos Narrow"/>
      <family val="2"/>
      <scheme val="minor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15"/>
      <color theme="1"/>
      <name val="Arial"/>
      <family val="2"/>
    </font>
    <font>
      <b/>
      <sz val="1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/>
    </xf>
    <xf numFmtId="3" fontId="5" fillId="0" borderId="0" xfId="0" applyNumberFormat="1" applyFont="1" applyAlignment="1">
      <alignment horizontal="center" vertical="top"/>
    </xf>
    <xf numFmtId="10" fontId="5" fillId="0" borderId="0" xfId="0" applyNumberFormat="1" applyFont="1"/>
    <xf numFmtId="9" fontId="5" fillId="0" borderId="0" xfId="0" applyNumberFormat="1" applyFont="1" applyAlignment="1">
      <alignment horizontal="center" vertical="top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 wrapText="1"/>
    </xf>
    <xf numFmtId="0" fontId="5" fillId="4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7" fillId="0" borderId="0" xfId="0" applyFont="1"/>
    <xf numFmtId="0" fontId="6" fillId="0" borderId="0" xfId="0" applyFont="1" applyAlignment="1"/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center" vertical="top"/>
    </xf>
    <xf numFmtId="3" fontId="5" fillId="4" borderId="0" xfId="0" applyNumberFormat="1" applyFont="1" applyFill="1" applyAlignment="1">
      <alignment horizontal="center" vertical="top"/>
    </xf>
  </cellXfs>
  <cellStyles count="2">
    <cellStyle name="40% - Accent3" xfId="1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9F40-45AA-AC4D-B2E4-E7DA5316EC2E}">
  <dimension ref="B5:G17"/>
  <sheetViews>
    <sheetView workbookViewId="0">
      <selection activeCell="E21" sqref="E21"/>
    </sheetView>
  </sheetViews>
  <sheetFormatPr baseColWidth="10" defaultRowHeight="16"/>
  <cols>
    <col min="2" max="2" width="5.1640625" customWidth="1"/>
    <col min="3" max="3" width="18.83203125" customWidth="1"/>
    <col min="4" max="4" width="22.83203125" customWidth="1"/>
    <col min="5" max="5" width="26.5" customWidth="1"/>
    <col min="6" max="6" width="21" customWidth="1"/>
    <col min="7" max="7" width="15.6640625" customWidth="1"/>
  </cols>
  <sheetData>
    <row r="5" spans="2:7" ht="20">
      <c r="B5" s="19" t="s">
        <v>39</v>
      </c>
      <c r="C5" s="19"/>
      <c r="D5" s="19"/>
      <c r="E5" s="19"/>
      <c r="F5" s="19"/>
      <c r="G5" s="19"/>
    </row>
    <row r="6" spans="2:7" ht="63">
      <c r="B6" s="20" t="s">
        <v>40</v>
      </c>
      <c r="C6" s="20" t="s">
        <v>41</v>
      </c>
      <c r="D6" s="20" t="s">
        <v>42</v>
      </c>
      <c r="E6" s="20" t="s">
        <v>47</v>
      </c>
      <c r="F6" s="20" t="s">
        <v>43</v>
      </c>
      <c r="G6" s="20" t="s">
        <v>44</v>
      </c>
    </row>
    <row r="7" spans="2:7" ht="42">
      <c r="B7" s="20">
        <v>1</v>
      </c>
      <c r="C7" s="21" t="s">
        <v>45</v>
      </c>
      <c r="D7" s="20" t="s">
        <v>4</v>
      </c>
      <c r="E7" s="20">
        <v>1</v>
      </c>
      <c r="F7" s="20">
        <v>38405</v>
      </c>
      <c r="G7" s="20">
        <v>38405</v>
      </c>
    </row>
    <row r="8" spans="2:7" ht="63">
      <c r="B8" s="20">
        <v>2</v>
      </c>
      <c r="C8" s="21"/>
      <c r="D8" s="20" t="s">
        <v>5</v>
      </c>
      <c r="E8" s="20">
        <v>1</v>
      </c>
      <c r="F8" s="20">
        <v>40256</v>
      </c>
      <c r="G8" s="20">
        <v>40256</v>
      </c>
    </row>
    <row r="9" spans="2:7" ht="84">
      <c r="B9" s="20">
        <v>3</v>
      </c>
      <c r="C9" s="21"/>
      <c r="D9" s="20" t="s">
        <v>46</v>
      </c>
      <c r="E9" s="20">
        <v>1</v>
      </c>
      <c r="F9" s="20">
        <v>48062</v>
      </c>
      <c r="G9" s="20">
        <v>48062</v>
      </c>
    </row>
    <row r="10" spans="2:7" ht="20">
      <c r="B10" s="20"/>
      <c r="C10" s="16" t="s">
        <v>53</v>
      </c>
      <c r="D10" s="20"/>
      <c r="E10" s="20">
        <v>3</v>
      </c>
      <c r="F10" s="20"/>
      <c r="G10" s="20">
        <f>SUM(G7:G9)</f>
        <v>126723</v>
      </c>
    </row>
    <row r="13" spans="2:7" ht="19">
      <c r="B13" s="17" t="s">
        <v>52</v>
      </c>
    </row>
    <row r="14" spans="2:7" ht="19">
      <c r="B14" s="18" t="s">
        <v>51</v>
      </c>
    </row>
    <row r="15" spans="2:7" ht="19">
      <c r="B15" s="18" t="s">
        <v>48</v>
      </c>
    </row>
    <row r="16" spans="2:7" ht="19">
      <c r="B16" s="18" t="s">
        <v>49</v>
      </c>
    </row>
    <row r="17" spans="2:2" ht="19">
      <c r="B17" s="18" t="s">
        <v>50</v>
      </c>
    </row>
  </sheetData>
  <mergeCells count="2">
    <mergeCell ref="B5:G5"/>
    <mergeCell ref="C7:C9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2A34-89E7-4D47-9040-BC4B4F705D8A}">
  <dimension ref="A2:F25"/>
  <sheetViews>
    <sheetView tabSelected="1" topLeftCell="A3" workbookViewId="0">
      <selection activeCell="I16" sqref="I16"/>
    </sheetView>
  </sheetViews>
  <sheetFormatPr baseColWidth="10" defaultRowHeight="18"/>
  <cols>
    <col min="1" max="1" width="20" style="1" bestFit="1" customWidth="1"/>
    <col min="2" max="2" width="29.1640625" style="2" bestFit="1" customWidth="1"/>
    <col min="3" max="3" width="10.5" style="1" bestFit="1" customWidth="1"/>
    <col min="4" max="4" width="14" style="1" bestFit="1" customWidth="1"/>
    <col min="5" max="5" width="14.33203125" style="1" bestFit="1" customWidth="1"/>
    <col min="6" max="6" width="17.5" style="1" customWidth="1"/>
    <col min="7" max="16384" width="10.83203125" style="1"/>
  </cols>
  <sheetData>
    <row r="2" spans="1:6">
      <c r="A2" s="8" t="s">
        <v>26</v>
      </c>
      <c r="B2" s="8"/>
      <c r="C2" s="8" t="s">
        <v>25</v>
      </c>
      <c r="D2" s="8"/>
      <c r="E2" s="8"/>
      <c r="F2" s="8"/>
    </row>
    <row r="3" spans="1:6">
      <c r="A3" s="8"/>
      <c r="B3" s="8"/>
      <c r="C3" s="8"/>
      <c r="D3" s="8"/>
      <c r="E3" s="8"/>
      <c r="F3" s="8"/>
    </row>
    <row r="4" spans="1:6" ht="42">
      <c r="A4" s="9"/>
      <c r="B4" s="14" t="s">
        <v>27</v>
      </c>
      <c r="C4" s="15" t="s">
        <v>3</v>
      </c>
      <c r="D4" s="15" t="s">
        <v>4</v>
      </c>
      <c r="E4" s="15" t="s">
        <v>5</v>
      </c>
      <c r="F4" s="15" t="s">
        <v>6</v>
      </c>
    </row>
    <row r="5" spans="1:6" ht="42">
      <c r="A5" s="9"/>
      <c r="B5" s="14" t="s">
        <v>24</v>
      </c>
      <c r="C5" s="15" t="s">
        <v>28</v>
      </c>
      <c r="D5" s="15" t="s">
        <v>29</v>
      </c>
      <c r="E5" s="15" t="s">
        <v>29</v>
      </c>
      <c r="F5" s="15" t="s">
        <v>29</v>
      </c>
    </row>
    <row r="6" spans="1:6" ht="42">
      <c r="A6" s="8" t="s">
        <v>0</v>
      </c>
      <c r="B6" s="3" t="s">
        <v>7</v>
      </c>
      <c r="C6" s="4"/>
      <c r="D6" s="5">
        <v>15742</v>
      </c>
      <c r="E6" s="5">
        <v>16058</v>
      </c>
      <c r="F6" s="5">
        <v>16058</v>
      </c>
    </row>
    <row r="7" spans="1:6" ht="21">
      <c r="A7" s="8"/>
      <c r="B7" s="3" t="s">
        <v>30</v>
      </c>
      <c r="C7" s="4"/>
      <c r="D7" s="5">
        <v>2224</v>
      </c>
      <c r="E7" s="4">
        <v>2224</v>
      </c>
      <c r="F7" s="4">
        <v>2224</v>
      </c>
    </row>
    <row r="8" spans="1:6" ht="42">
      <c r="A8" s="9"/>
      <c r="B8" s="3" t="s">
        <v>10</v>
      </c>
      <c r="C8" s="4"/>
      <c r="D8" s="4">
        <v>0</v>
      </c>
      <c r="E8" s="4">
        <v>0</v>
      </c>
      <c r="F8" s="4" t="s">
        <v>8</v>
      </c>
    </row>
    <row r="9" spans="1:6" ht="21">
      <c r="A9" s="10" t="s">
        <v>31</v>
      </c>
      <c r="B9" s="22" t="s">
        <v>11</v>
      </c>
      <c r="C9" s="23"/>
      <c r="D9" s="24">
        <f>SUM(D6:D7)</f>
        <v>17966</v>
      </c>
      <c r="E9" s="24">
        <f t="shared" ref="E9:F9" si="0">SUM(E6:E7)</f>
        <v>18282</v>
      </c>
      <c r="F9" s="24">
        <f t="shared" si="0"/>
        <v>18282</v>
      </c>
    </row>
    <row r="10" spans="1:6" ht="21">
      <c r="A10" s="8" t="s">
        <v>32</v>
      </c>
      <c r="B10" s="3" t="s">
        <v>12</v>
      </c>
      <c r="C10" s="4"/>
      <c r="D10" s="4">
        <v>300</v>
      </c>
      <c r="E10" s="4">
        <v>300</v>
      </c>
      <c r="F10" s="4" t="s">
        <v>9</v>
      </c>
    </row>
    <row r="11" spans="1:6" ht="21">
      <c r="A11" s="8"/>
      <c r="B11" s="3" t="s">
        <v>13</v>
      </c>
      <c r="C11" s="4"/>
      <c r="D11" s="4">
        <v>5000</v>
      </c>
      <c r="E11" s="4">
        <v>6000</v>
      </c>
      <c r="F11" s="4">
        <v>12000</v>
      </c>
    </row>
    <row r="12" spans="1:6" ht="42">
      <c r="A12" s="9" t="s">
        <v>33</v>
      </c>
      <c r="B12" s="22" t="s">
        <v>14</v>
      </c>
      <c r="C12" s="23"/>
      <c r="D12" s="24">
        <f>SUM(D9:D11)</f>
        <v>23266</v>
      </c>
      <c r="E12" s="24">
        <f t="shared" ref="E12:F12" si="1">SUM(E9:E11)</f>
        <v>24582</v>
      </c>
      <c r="F12" s="24">
        <f t="shared" si="1"/>
        <v>30282</v>
      </c>
    </row>
    <row r="13" spans="1:6" ht="21">
      <c r="A13" s="8" t="s">
        <v>34</v>
      </c>
      <c r="B13" s="3" t="s">
        <v>15</v>
      </c>
      <c r="C13" s="6">
        <v>0.13</v>
      </c>
      <c r="D13" s="4">
        <v>3025</v>
      </c>
      <c r="E13" s="4">
        <v>3196</v>
      </c>
      <c r="F13" s="4">
        <v>3937</v>
      </c>
    </row>
    <row r="14" spans="1:6" ht="42">
      <c r="A14" s="8"/>
      <c r="B14" s="3" t="s">
        <v>16</v>
      </c>
      <c r="C14" s="6">
        <v>3.2500000000000001E-2</v>
      </c>
      <c r="D14" s="4">
        <v>756</v>
      </c>
      <c r="E14" s="4">
        <v>799</v>
      </c>
      <c r="F14" s="4">
        <v>984</v>
      </c>
    </row>
    <row r="15" spans="1:6" ht="21">
      <c r="A15" s="8"/>
      <c r="B15" s="3" t="s">
        <v>17</v>
      </c>
      <c r="C15" s="6">
        <v>5.8099999999999999E-2</v>
      </c>
      <c r="D15" s="4">
        <v>1044</v>
      </c>
      <c r="E15" s="4">
        <v>1062</v>
      </c>
      <c r="F15" s="4">
        <v>1062</v>
      </c>
    </row>
    <row r="16" spans="1:6" ht="21">
      <c r="A16" s="8"/>
      <c r="B16" s="3" t="s">
        <v>18</v>
      </c>
      <c r="C16" s="6">
        <v>4.8099999999999997E-2</v>
      </c>
      <c r="D16" s="4">
        <v>864</v>
      </c>
      <c r="E16" s="4">
        <v>879</v>
      </c>
      <c r="F16" s="4">
        <v>879</v>
      </c>
    </row>
    <row r="17" spans="1:6" ht="21">
      <c r="A17" s="8"/>
      <c r="B17" s="3" t="s">
        <v>1</v>
      </c>
      <c r="C17" s="6">
        <v>8.3299999999999999E-2</v>
      </c>
      <c r="D17" s="4">
        <v>1497</v>
      </c>
      <c r="E17" s="4">
        <v>1523</v>
      </c>
      <c r="F17" s="4">
        <v>1523</v>
      </c>
    </row>
    <row r="18" spans="1:6" ht="21">
      <c r="A18" s="8"/>
      <c r="B18" s="3" t="s">
        <v>2</v>
      </c>
      <c r="C18" s="6">
        <v>2.8299999999999999E-2</v>
      </c>
      <c r="D18" s="4">
        <v>508</v>
      </c>
      <c r="E18" s="4">
        <v>517</v>
      </c>
      <c r="F18" s="4">
        <v>517</v>
      </c>
    </row>
    <row r="19" spans="1:6" ht="42">
      <c r="A19" s="8"/>
      <c r="B19" s="3" t="s">
        <v>19</v>
      </c>
      <c r="C19" s="4"/>
      <c r="D19" s="4">
        <v>40</v>
      </c>
      <c r="E19" s="4">
        <v>40</v>
      </c>
      <c r="F19" s="4">
        <v>40</v>
      </c>
    </row>
    <row r="20" spans="1:6" ht="21">
      <c r="A20" s="11" t="s">
        <v>38</v>
      </c>
      <c r="B20" s="3" t="s">
        <v>20</v>
      </c>
      <c r="C20" s="4" t="s">
        <v>35</v>
      </c>
      <c r="D20" s="4">
        <v>300</v>
      </c>
      <c r="E20" s="4">
        <v>300</v>
      </c>
      <c r="F20" s="4">
        <v>300</v>
      </c>
    </row>
    <row r="21" spans="1:6" ht="21">
      <c r="A21" s="12"/>
      <c r="B21" s="3" t="s">
        <v>21</v>
      </c>
      <c r="C21" s="4"/>
      <c r="D21" s="4">
        <v>5075</v>
      </c>
      <c r="E21" s="4">
        <v>5320</v>
      </c>
      <c r="F21" s="4">
        <v>6353</v>
      </c>
    </row>
    <row r="22" spans="1:6" ht="20">
      <c r="A22" s="9" t="s">
        <v>36</v>
      </c>
      <c r="B22" s="22"/>
      <c r="C22" s="23"/>
      <c r="D22" s="23">
        <v>35560</v>
      </c>
      <c r="E22" s="23">
        <v>37274</v>
      </c>
      <c r="F22" s="23">
        <v>44502</v>
      </c>
    </row>
    <row r="23" spans="1:6" ht="21">
      <c r="A23" s="9"/>
      <c r="B23" s="3" t="s">
        <v>22</v>
      </c>
      <c r="C23" s="7">
        <v>0.08</v>
      </c>
      <c r="D23" s="4">
        <v>2845</v>
      </c>
      <c r="E23" s="4">
        <v>2982</v>
      </c>
      <c r="F23" s="4">
        <v>3560</v>
      </c>
    </row>
    <row r="24" spans="1:6" ht="21">
      <c r="A24" s="13" t="s">
        <v>23</v>
      </c>
      <c r="B24" s="23"/>
      <c r="C24" s="23"/>
      <c r="D24" s="23">
        <f>SUM(D22:D23)</f>
        <v>38405</v>
      </c>
      <c r="E24" s="23">
        <f t="shared" ref="E24:F24" si="2">SUM(E22:E23)</f>
        <v>40256</v>
      </c>
      <c r="F24" s="23">
        <f t="shared" si="2"/>
        <v>48062</v>
      </c>
    </row>
    <row r="25" spans="1:6" ht="20">
      <c r="A25" s="9" t="s">
        <v>37</v>
      </c>
      <c r="B25" s="3"/>
      <c r="C25" s="4"/>
      <c r="D25" s="4">
        <v>171</v>
      </c>
      <c r="E25" s="4">
        <v>179</v>
      </c>
      <c r="F25" s="4">
        <v>214</v>
      </c>
    </row>
  </sheetData>
  <mergeCells count="6">
    <mergeCell ref="A13:A19"/>
    <mergeCell ref="A20:A21"/>
    <mergeCell ref="A2:B3"/>
    <mergeCell ref="C2:F3"/>
    <mergeCell ref="A6:A7"/>
    <mergeCell ref="A10:A11"/>
  </mergeCells>
  <phoneticPr fontId="3" type="noConversion"/>
  <conditionalFormatting sqref="B4:F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Cost Breakup - 8 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jha</dc:creator>
  <cp:lastModifiedBy>nikhil jha</cp:lastModifiedBy>
  <cp:lastPrinted>2025-01-01T23:07:00Z</cp:lastPrinted>
  <dcterms:created xsi:type="dcterms:W3CDTF">2025-01-01T21:40:06Z</dcterms:created>
  <dcterms:modified xsi:type="dcterms:W3CDTF">2025-01-01T23:09:36Z</dcterms:modified>
</cp:coreProperties>
</file>