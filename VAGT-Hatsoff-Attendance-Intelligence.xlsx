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 + Use Cases" sheetId="1" state="visible" r:id="rId3"/>
    <sheet name="Master Attendance Data" sheetId="2" state="visible" r:id="rId4"/>
    <sheet name="Monthly Trends" sheetId="3" state="visible" r:id="rId5"/>
    <sheet name="Guard Analytics" sheetId="4" state="visible" r:id="rId6"/>
    <sheet name="Payroll Calculator" sheetId="5" state="visible" r:id="rId7"/>
    <sheet name="Client Billing" sheetId="6" state="visible" r:id="rId8"/>
    <sheet name="Leave Tracker" sheetId="7" state="visible" r:id="rId9"/>
    <sheet name="OT Analysis" sheetId="8" state="visible" r:id="rId10"/>
    <sheet name="Compliance" sheetId="9" state="visible" r:id="rId11"/>
    <sheet name="Future - Digital App" sheetId="10" state="visible" r:id="rId12"/>
  </sheets>
  <definedNames>
    <definedName function="false" hidden="true" localSheetId="1" name="_xlnm._FilterDatabase" vbProcedure="false">'Master Attendance Data'!$A$6:$J$308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<sst xmlns="http://schemas.openxmlformats.org/spreadsheetml/2006/main" count="1671" uniqueCount="370">
  <si>
    <t xml:space="preserve">VAGT SECURITY — HATSOFF ATTENDANCE INTELLIGENCE</t>
  </si>
  <si>
    <t xml:space="preserve">Complete Muster Roll Data · May 2023 – Jan 2026 · 33 Months · 302 Guard-Month Records</t>
  </si>
  <si>
    <t xml:space="preserve">Generated 05 Mar 2026  |  Client: Hatsoff  |  Contract: VAGT-C-2023-001  |  Internal</t>
  </si>
  <si>
    <t xml:space="preserve">33</t>
  </si>
  <si>
    <t xml:space="preserve">302</t>
  </si>
  <si>
    <t xml:space="preserve">22</t>
  </si>
  <si>
    <t xml:space="preserve">10</t>
  </si>
  <si>
    <t xml:space="preserve">4,119</t>
  </si>
  <si>
    <t xml:space="preserve">86.5%</t>
  </si>
  <si>
    <t xml:space="preserve">Months of Data</t>
  </si>
  <si>
    <t xml:space="preserve">Guard-Month Records</t>
  </si>
  <si>
    <t xml:space="preserve">Guards (All Time)</t>
  </si>
  <si>
    <t xml:space="preserve">Active (Jan-26)</t>
  </si>
  <si>
    <t xml:space="preserve">Man-Days Present</t>
  </si>
  <si>
    <t xml:space="preserve">Avg Attendance</t>
  </si>
  <si>
    <t xml:space="preserve">DATA USE CASE MAP — What This Attendance Data Powers (Upstream &amp; Downstream)</t>
  </si>
  <si>
    <t xml:space="preserve">Category</t>
  </si>
  <si>
    <t xml:space="preserve">Use Case</t>
  </si>
  <si>
    <t xml:space="preserve">Description</t>
  </si>
  <si>
    <t xml:space="preserve">Downstream Applications</t>
  </si>
  <si>
    <t xml:space="preserve">See Sheet</t>
  </si>
  <si>
    <t xml:space="preserve">PAYROLL</t>
  </si>
  <si>
    <t xml:space="preserve">Monthly Payroll</t>
  </si>
  <si>
    <t xml:space="preserve">Days Present x Daily Wage + OT x 1.5x = Net Pay per guard</t>
  </si>
  <si>
    <t xml:space="preserve">Bank transfers, payslips, Form 16</t>
  </si>
  <si>
    <t xml:space="preserve">-&gt; Payroll Calculator</t>
  </si>
  <si>
    <t xml:space="preserve">PF / ESI Filing</t>
  </si>
  <si>
    <t xml:space="preserve">Attendance days determine eligibility + contribution amounts</t>
  </si>
  <si>
    <t xml:space="preserve">EPFO challan, ESI challan, statutory compliance</t>
  </si>
  <si>
    <t xml:space="preserve">-&gt; Compliance</t>
  </si>
  <si>
    <t xml:space="preserve">BILLING</t>
  </si>
  <si>
    <t xml:space="preserve">Client Invoicing</t>
  </si>
  <si>
    <t xml:space="preserve">Guard-days delivered x billing rate by designation = monthly invoice</t>
  </si>
  <si>
    <t xml:space="preserve">Client payment, revenue recognition, AR ageing</t>
  </si>
  <si>
    <t xml:space="preserve">-&gt; Client Billing</t>
  </si>
  <si>
    <t xml:space="preserve">SLA Fulfilment</t>
  </si>
  <si>
    <t xml:space="preserve">Contracted guard-days vs actual delivered = SLA %</t>
  </si>
  <si>
    <t xml:space="preserve">Contract renewal, penalty waivers, client review</t>
  </si>
  <si>
    <t xml:space="preserve">HR</t>
  </si>
  <si>
    <t xml:space="preserve">Leave Balances</t>
  </si>
  <si>
    <t xml:space="preserve">Running EL/SL/CL tally per guard; leave encashment on exit</t>
  </si>
  <si>
    <t xml:space="preserve">Leave approval workflow, full-and-final settlement</t>
  </si>
  <si>
    <t xml:space="preserve">-&gt; Leave Tracker</t>
  </si>
  <si>
    <t xml:space="preserve">Performance Scoring</t>
  </si>
  <si>
    <t xml:space="preserve">Attendance rate, OT willingness, reliability over time</t>
  </si>
  <si>
    <t xml:space="preserve">Appraisals, deployment priority, promotion calls</t>
  </si>
  <si>
    <t xml:space="preserve">-&gt; Guard Analytics</t>
  </si>
  <si>
    <t xml:space="preserve">Attrition Warning</t>
  </si>
  <si>
    <t xml:space="preserve">Leave spikes or consecutive absences = early exit signal</t>
  </si>
  <si>
    <t xml:space="preserve">HR intervention, replacement planning, retention</t>
  </si>
  <si>
    <t xml:space="preserve">OPS</t>
  </si>
  <si>
    <t xml:space="preserve">Site Coverage</t>
  </si>
  <si>
    <t xml:space="preserve">Were all contracted posts filled every day of the month?</t>
  </si>
  <si>
    <t xml:space="preserve">Client audit response, ops review, CCTV log correlation</t>
  </si>
  <si>
    <t xml:space="preserve">-&gt; Monthly Trends</t>
  </si>
  <si>
    <t xml:space="preserve">Overtime Optimisation</t>
  </si>
  <si>
    <t xml:space="preserve">Who takes OT, which months/sites need it, cost impact</t>
  </si>
  <si>
    <t xml:space="preserve">Hiring triggers, shift redesign, cost reduction</t>
  </si>
  <si>
    <t xml:space="preserve">-&gt; OT Analysis</t>
  </si>
  <si>
    <t xml:space="preserve">Guard Rotation</t>
  </si>
  <si>
    <t xml:space="preserve">Identify overdue rotations, leave backlog, cross-site moves</t>
  </si>
  <si>
    <t xml:space="preserve">Monthly deployment plan, site manager briefing</t>
  </si>
  <si>
    <t xml:space="preserve">FINANCE</t>
  </si>
  <si>
    <t xml:space="preserve">Cost Per Contract</t>
  </si>
  <si>
    <t xml:space="preserve">Total wages + OT + statutory costs attributable to site</t>
  </si>
  <si>
    <t xml:space="preserve">Margin analysis, pricing model, renewal negotiation</t>
  </si>
  <si>
    <t xml:space="preserve">Revenue Forecast</t>
  </si>
  <si>
    <t xml:space="preserve">Guard-days x billing rate projects monthly / annual revenue</t>
  </si>
  <si>
    <t xml:space="preserve">P&amp;L, cash flow, investor reporting</t>
  </si>
  <si>
    <t xml:space="preserve">ANALYTICS</t>
  </si>
  <si>
    <t xml:space="preserve">Absence Patterns</t>
  </si>
  <si>
    <t xml:space="preserve">Which day-of-week / month sees most absences?</t>
  </si>
  <si>
    <t xml:space="preserve">Policy design, incentive schemes, operational scheduling</t>
  </si>
  <si>
    <t xml:space="preserve">Headcount Trends</t>
  </si>
  <si>
    <t xml:space="preserve">How headcount at site has changed over 33 months</t>
  </si>
  <si>
    <t xml:space="preserve">Capacity planning, contract expansion, price history</t>
  </si>
  <si>
    <t xml:space="preserve">FUTURE</t>
  </si>
  <si>
    <t xml:space="preserve">Digital Check-In</t>
  </si>
  <si>
    <t xml:space="preserve">Guard scans QR/OTP at shift start; supervisor approves; auto-fills muster roll</t>
  </si>
  <si>
    <t xml:space="preserve">Real-time attendance, auto-payroll trigger, client visibility</t>
  </si>
  <si>
    <t xml:space="preserve">-&gt; Future - Digital App</t>
  </si>
  <si>
    <t xml:space="preserve">Auto Payslip</t>
  </si>
  <si>
    <t xml:space="preserve">Month close triggers payslip PDF per guard via WhatsApp</t>
  </si>
  <si>
    <t xml:space="preserve">Zero manual calculation, guard self-service</t>
  </si>
  <si>
    <t xml:space="preserve">VAGT x HATSOFF — Master Attendance Register</t>
  </si>
  <si>
    <t xml:space="preserve">May 2023 - Jan 2026  |  302 Records  |  All Guard-Months</t>
  </si>
  <si>
    <t xml:space="preserve">Month</t>
  </si>
  <si>
    <t xml:space="preserve">CLK No.</t>
  </si>
  <si>
    <t xml:space="preserve">Designation</t>
  </si>
  <si>
    <t xml:space="preserve">Guard Name</t>
  </si>
  <si>
    <t xml:space="preserve">Days Present</t>
  </si>
  <si>
    <t xml:space="preserve">OT Days</t>
  </si>
  <si>
    <t xml:space="preserve">Leave Days</t>
  </si>
  <si>
    <t xml:space="preserve">Weekly Off</t>
  </si>
  <si>
    <t xml:space="preserve">Absent Days</t>
  </si>
  <si>
    <t xml:space="preserve">Total Billable</t>
  </si>
  <si>
    <t xml:space="preserve">MAY-2023</t>
  </si>
  <si>
    <t xml:space="preserve">SG</t>
  </si>
  <si>
    <t xml:space="preserve">VIKRAM</t>
  </si>
  <si>
    <t xml:space="preserve">SUBESH MANDAL</t>
  </si>
  <si>
    <t xml:space="preserve">FO</t>
  </si>
  <si>
    <t xml:space="preserve">SURESH</t>
  </si>
  <si>
    <t xml:space="preserve">ARUMUGAM</t>
  </si>
  <si>
    <t xml:space="preserve">RANJAN BARIK</t>
  </si>
  <si>
    <t xml:space="preserve">SO</t>
  </si>
  <si>
    <t xml:space="preserve">LAL SINGH K</t>
  </si>
  <si>
    <t xml:space="preserve">SHREE KUMAR</t>
  </si>
  <si>
    <t xml:space="preserve">KEMPA RAJU</t>
  </si>
  <si>
    <t xml:space="preserve">SAMBHU MANNA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</si>
  <si>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</si>
  <si>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</si>
  <si>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</si>
  <si>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</si>
  <si>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</si>
  <si>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</si>
  <si>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</si>
  <si>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JOYTIRMOY</t>
  </si>
  <si>
    <t xml:space="preserve">JAN-2024</t>
  </si>
  <si>
    <t xml:space="preserve">FEB-2024</t>
  </si>
  <si>
    <t xml:space="preserve">ABHILASH BR</t>
  </si>
  <si>
    <t xml:space="preserve">MAR-2024</t>
  </si>
  <si>
    <t xml:space="preserve">HUSSAIN SAIKH</t>
  </si>
  <si>
    <t xml:space="preserve">APR-2024</t>
  </si>
  <si>
    <t xml:space="preserve">MAY-2024</t>
  </si>
  <si>
    <t xml:space="preserve">JUN-2024</t>
  </si>
  <si>
    <t xml:space="preserve">SANJIV KUMAR</t>
  </si>
  <si>
    <t xml:space="preserve">PRASHANTA BEHRA</t>
  </si>
  <si>
    <t xml:space="preserve">JUL-2024</t>
  </si>
  <si>
    <t xml:space="preserve">SANDEEP S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</si>
  <si>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</si>
  <si>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</si>
  <si>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</si>
  <si>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</si>
  <si>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</si>
  <si>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GOUTAM MALLICK</t>
  </si>
  <si>
    <t xml:space="preserve">JAN-2025</t>
  </si>
  <si>
    <t xml:space="preserve">MOHAN RAJ P</t>
  </si>
  <si>
    <t xml:space="preserve">FEB-2025</t>
  </si>
  <si>
    <t xml:space="preserve">MAR-2025</t>
  </si>
  <si>
    <t xml:space="preserve">PRASHANTA B</t>
  </si>
  <si>
    <t xml:space="preserve">APR-2025</t>
  </si>
  <si>
    <t xml:space="preserve">VIKRAM BV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</si>
  <si>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</si>
  <si>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</si>
  <si>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</si>
  <si>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</si>
  <si>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</si>
  <si>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</si>
  <si>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ARNAV NANDI</t>
  </si>
  <si>
    <t xml:space="preserve">NOV-2025</t>
  </si>
  <si>
    <t xml:space="preserve">A NANDI</t>
  </si>
  <si>
    <t xml:space="preserve">DEC-2025</t>
  </si>
  <si>
    <t xml:space="preserve">JAN-2026</t>
  </si>
  <si>
    <t xml:space="preserve">ARNAB NANDI</t>
  </si>
  <si>
    <t xml:space="preserve">Monthly Attendance Trends — Hatsoff</t>
  </si>
  <si>
    <t xml:space="preserve">33-Month View  |  Guard headcount, attendance, OT, leave</t>
  </si>
  <si>
    <t xml:space="preserve">Guards</t>
  </si>
  <si>
    <t xml:space="preserve">Total Present</t>
  </si>
  <si>
    <t xml:space="preserve">Avg Present/Guard</t>
  </si>
  <si>
    <t xml:space="preserve">Att Rate %</t>
  </si>
  <si>
    <t xml:space="preserve">Man Hours</t>
  </si>
  <si>
    <t xml:space="preserve">0.0%</t>
  </si>
  <si>
    <t xml:space="preserve">91.9%</t>
  </si>
  <si>
    <t xml:space="preserve">69.6%</t>
  </si>
  <si>
    <t xml:space="preserve">81.5%</t>
  </si>
  <si>
    <t xml:space="preserve">77.9%</t>
  </si>
  <si>
    <t xml:space="preserve">74.5%</t>
  </si>
  <si>
    <t xml:space="preserve">73.1%</t>
  </si>
  <si>
    <t xml:space="preserve">79.5%</t>
  </si>
  <si>
    <t xml:space="preserve">86.8%</t>
  </si>
  <si>
    <t xml:space="preserve">74.4%</t>
  </si>
  <si>
    <t xml:space="preserve">78.2%</t>
  </si>
  <si>
    <t xml:space="preserve">73.5%</t>
  </si>
  <si>
    <t xml:space="preserve">85.5%</t>
  </si>
  <si>
    <t xml:space="preserve">88.9%</t>
  </si>
  <si>
    <t xml:space="preserve">89.7%</t>
  </si>
  <si>
    <t xml:space="preserve">76.1%</t>
  </si>
  <si>
    <t xml:space="preserve">92.3%</t>
  </si>
  <si>
    <t xml:space="preserve">95.0%</t>
  </si>
  <si>
    <t xml:space="preserve">93.1%</t>
  </si>
  <si>
    <t xml:space="preserve">88.1%</t>
  </si>
  <si>
    <t xml:space="preserve">Guard-Level Performance Analytics — Hatsoff</t>
  </si>
  <si>
    <t xml:space="preserve">All-Time Reliability, Attendance Rate, OT Pattern, Leave Usage</t>
  </si>
  <si>
    <t xml:space="preserve">Name</t>
  </si>
  <si>
    <t xml:space="preserve">Months</t>
  </si>
  <si>
    <t xml:space="preserve">Total OT</t>
  </si>
  <si>
    <t xml:space="preserve">Total Leave</t>
  </si>
  <si>
    <t xml:space="preserve">Total Absent</t>
  </si>
  <si>
    <t xml:space="preserve">Avg Present/Mo</t>
  </si>
  <si>
    <t xml:space="preserve">Avg OT/Mo</t>
  </si>
  <si>
    <t xml:space="preserve">Reliability</t>
  </si>
  <si>
    <t xml:space="preserve">60.4%</t>
  </si>
  <si>
    <t xml:space="preserve">Review</t>
  </si>
  <si>
    <t xml:space="preserve">61.3%</t>
  </si>
  <si>
    <t xml:space="preserve">49.9%</t>
  </si>
  <si>
    <t xml:space="preserve">63.6%</t>
  </si>
  <si>
    <t xml:space="preserve">92.1%</t>
  </si>
  <si>
    <t xml:space="preserve">Excellent</t>
  </si>
  <si>
    <t xml:space="preserve">59.2%</t>
  </si>
  <si>
    <t xml:space="preserve">7.9%</t>
  </si>
  <si>
    <t xml:space="preserve">8.8%</t>
  </si>
  <si>
    <t xml:space="preserve">6.5%</t>
  </si>
  <si>
    <t xml:space="preserve">83.1%</t>
  </si>
  <si>
    <t xml:space="preserve">Good</t>
  </si>
  <si>
    <t xml:space="preserve">82.9%</t>
  </si>
  <si>
    <t xml:space="preserve">100.0%</t>
  </si>
  <si>
    <t xml:space="preserve">89.3%</t>
  </si>
  <si>
    <t xml:space="preserve">26.9%</t>
  </si>
  <si>
    <t xml:space="preserve">94.2%</t>
  </si>
  <si>
    <t xml:space="preserve">15.4%</t>
  </si>
  <si>
    <t xml:space="preserve">96.2%</t>
  </si>
  <si>
    <t xml:space="preserve">Payroll Calculator — Hatsoff</t>
  </si>
  <si>
    <t xml:space="preserve">Jan-26  |  Update blue cells to change month or rates  |  Blue=Input, Black=Formula</t>
  </si>
  <si>
    <t xml:space="preserve">WAGE RATE ASSUMPTIONS  (Blue = Hardcoded Input)</t>
  </si>
  <si>
    <t xml:space="preserve">Daily Wage (Rs.)</t>
  </si>
  <si>
    <t xml:space="preserve">OT Rate (Rs./day)</t>
  </si>
  <si>
    <t xml:space="preserve">PF Deduct %</t>
  </si>
  <si>
    <t xml:space="preserve">ESI Deduct %</t>
  </si>
  <si>
    <t xml:space="preserve">12%</t>
  </si>
  <si>
    <t xml:space="preserve">0.75%</t>
  </si>
  <si>
    <t xml:space="preserve">JANUARY 2026 PAYROLL  (Formulas auto-calculate from rates above)</t>
  </si>
  <si>
    <t xml:space="preserve">#</t>
  </si>
  <si>
    <t xml:space="preserve">Basic Gross (Rs.)</t>
  </si>
  <si>
    <t xml:space="preserve">OT Amount (Rs.)</t>
  </si>
  <si>
    <t xml:space="preserve">PF Deducted (Rs.)</t>
  </si>
  <si>
    <t xml:space="preserve">ESI Deducted (Rs.)</t>
  </si>
  <si>
    <t xml:space="preserve">Net Payable (Rs.)</t>
  </si>
  <si>
    <t xml:space="preserve">285.0</t>
  </si>
  <si>
    <t xml:space="preserve">321.0</t>
  </si>
  <si>
    <t xml:space="preserve">427.0</t>
  </si>
  <si>
    <t xml:space="preserve">439.0</t>
  </si>
  <si>
    <t xml:space="preserve">454.0</t>
  </si>
  <si>
    <t xml:space="preserve">799.0</t>
  </si>
  <si>
    <t xml:space="preserve">8.0</t>
  </si>
  <si>
    <t xml:space="preserve">868.0</t>
  </si>
  <si>
    <t xml:space="preserve">9.0</t>
  </si>
  <si>
    <t xml:space="preserve">98.0</t>
  </si>
  <si>
    <t xml:space="preserve">TOTAL</t>
  </si>
  <si>
    <t xml:space="preserve">Client Billing Analysis — Hatsoff</t>
  </si>
  <si>
    <t xml:space="preserve">Guard-Days Delivered vs Contracted  |  Monthly Revenue Tracker</t>
  </si>
  <si>
    <t xml:space="preserve">BILLING RATE ASSUMPTIONS</t>
  </si>
  <si>
    <t xml:space="preserve">Bill Rate/Day (Rs.)</t>
  </si>
  <si>
    <t xml:space="preserve">Contracted Guards</t>
  </si>
  <si>
    <t xml:space="preserve">Working Days/Mo</t>
  </si>
  <si>
    <t xml:space="preserve">MONTHLY BILLING SUMMARY</t>
  </si>
  <si>
    <t xml:space="preserve">SO Days</t>
  </si>
  <si>
    <t xml:space="preserve">FO Days</t>
  </si>
  <si>
    <t xml:space="preserve">SG Days</t>
  </si>
  <si>
    <t xml:space="preserve">Total Guard-Days</t>
  </si>
  <si>
    <t xml:space="preserve">Gross Billing (Rs.)</t>
  </si>
  <si>
    <t xml:space="preserve">Contracted Days</t>
  </si>
  <si>
    <t xml:space="preserve">Fulfilment %</t>
  </si>
  <si>
    <t xml:space="preserve">Delta (Rs.)</t>
  </si>
  <si>
    <t xml:space="preserve">82.7%</t>
  </si>
  <si>
    <t xml:space="preserve">62.3%</t>
  </si>
  <si>
    <t xml:space="preserve">59.6%</t>
  </si>
  <si>
    <t xml:space="preserve">58.5%</t>
  </si>
  <si>
    <t xml:space="preserve">71.5%</t>
  </si>
  <si>
    <t xml:space="preserve">78.1%</t>
  </si>
  <si>
    <t xml:space="preserve">66.9%</t>
  </si>
  <si>
    <t xml:space="preserve">70.4%</t>
  </si>
  <si>
    <t xml:space="preserve">66.2%</t>
  </si>
  <si>
    <t xml:space="preserve">76.9%</t>
  </si>
  <si>
    <t xml:space="preserve">71.2%</t>
  </si>
  <si>
    <t xml:space="preserve">80.8%</t>
  </si>
  <si>
    <t xml:space="preserve">68.5%</t>
  </si>
  <si>
    <t xml:space="preserve">Leave Tracker — All Guards — Hatsoff</t>
  </si>
  <si>
    <t xml:space="preserve">Heat map of leave days per guard per month  |  Red = high leave</t>
  </si>
  <si>
    <t xml:space="preserve">Overtime Analysis — Hatsoff</t>
  </si>
  <si>
    <t xml:space="preserve">Monthly OT trends + Guard-level OT breakdown  |  Cost impact included</t>
  </si>
  <si>
    <t xml:space="preserve">Monthly OT Summary</t>
  </si>
  <si>
    <t xml:space="preserve">Guards with OT</t>
  </si>
  <si>
    <t xml:space="preserve">Total OT Days</t>
  </si>
  <si>
    <t xml:space="preserve">Est OT Cost (Rs.)</t>
  </si>
  <si>
    <t xml:space="preserve">OT vs Present %</t>
  </si>
  <si>
    <t xml:space="preserve">Top OT Guard</t>
  </si>
  <si>
    <t xml:space="preserve">3200.0%</t>
  </si>
  <si>
    <t xml:space="preserve">ARUMUGAM (7d)</t>
  </si>
  <si>
    <t xml:space="preserve">5300.0%</t>
  </si>
  <si>
    <t xml:space="preserve">SHREE KUMAR (20d)</t>
  </si>
  <si>
    <t xml:space="preserve">2800.0%</t>
  </si>
  <si>
    <t xml:space="preserve">SURESH (17d)</t>
  </si>
  <si>
    <t xml:space="preserve">2400.0%</t>
  </si>
  <si>
    <t xml:space="preserve">SURESH (15d)</t>
  </si>
  <si>
    <t xml:space="preserve">SURESH (12d)</t>
  </si>
  <si>
    <t xml:space="preserve">2500.0%</t>
  </si>
  <si>
    <t xml:space="preserve">RANJAN BARIK (6d)</t>
  </si>
  <si>
    <t xml:space="preserve">2900.0%</t>
  </si>
  <si>
    <t xml:space="preserve">RANJAN BARIK (9d)</t>
  </si>
  <si>
    <t xml:space="preserve">3900.0%</t>
  </si>
  <si>
    <t xml:space="preserve">RANJAN BARIK (12d)</t>
  </si>
  <si>
    <t xml:space="preserve">3100.0%</t>
  </si>
  <si>
    <t xml:space="preserve">RANJAN BARIK (8d)</t>
  </si>
  <si>
    <t xml:space="preserve">4800.0%</t>
  </si>
  <si>
    <t xml:space="preserve">SURESH (14d)</t>
  </si>
  <si>
    <t xml:space="preserve">4200.0%</t>
  </si>
  <si>
    <t xml:space="preserve">SURESH (11d)</t>
  </si>
  <si>
    <t xml:space="preserve">HUSSAIN SAIKH (0d)</t>
  </si>
  <si>
    <t xml:space="preserve">15.3%</t>
  </si>
  <si>
    <t xml:space="preserve">31.5%</t>
  </si>
  <si>
    <t xml:space="preserve">ABHILASH BR (28d)</t>
  </si>
  <si>
    <t xml:space="preserve">14.2%</t>
  </si>
  <si>
    <t xml:space="preserve">ABHILASH BR (20d)</t>
  </si>
  <si>
    <t xml:space="preserve">SANDEEP S (14d)</t>
  </si>
  <si>
    <t xml:space="preserve">31.0%</t>
  </si>
  <si>
    <t xml:space="preserve">38.2%</t>
  </si>
  <si>
    <t xml:space="preserve">SANDEEP S (15d)</t>
  </si>
  <si>
    <t xml:space="preserve">29.6%</t>
  </si>
  <si>
    <t xml:space="preserve">21.7%</t>
  </si>
  <si>
    <t xml:space="preserve">30.5%</t>
  </si>
  <si>
    <t xml:space="preserve">ABHILASH BR (15d)</t>
  </si>
  <si>
    <t xml:space="preserve">26.4%</t>
  </si>
  <si>
    <t xml:space="preserve">33.3%</t>
  </si>
  <si>
    <t xml:space="preserve">40.1%</t>
  </si>
  <si>
    <t xml:space="preserve">34.0%</t>
  </si>
  <si>
    <t xml:space="preserve">15.7%</t>
  </si>
  <si>
    <t xml:space="preserve">ABHILASH BR (14d)</t>
  </si>
  <si>
    <t xml:space="preserve">18.1%</t>
  </si>
  <si>
    <t xml:space="preserve">34.8%</t>
  </si>
  <si>
    <t xml:space="preserve">ABHILASH BR (9d)</t>
  </si>
  <si>
    <t xml:space="preserve">3.6%</t>
  </si>
  <si>
    <t xml:space="preserve">ARUMUGAM (2d)</t>
  </si>
  <si>
    <t xml:space="preserve">10.3%</t>
  </si>
  <si>
    <t xml:space="preserve">ARUMUGAM (4d)</t>
  </si>
  <si>
    <t xml:space="preserve">PRASHANTA B (10d)</t>
  </si>
  <si>
    <t xml:space="preserve">Guard-Level OT Summary (All Time)</t>
  </si>
  <si>
    <t xml:space="preserve">Months with OT</t>
  </si>
  <si>
    <t xml:space="preserve">Avg OT/Month</t>
  </si>
  <si>
    <t xml:space="preserve">Max OT Month</t>
  </si>
  <si>
    <t xml:space="preserve">Est OT Earned (Rs.)</t>
  </si>
  <si>
    <t xml:space="preserve">Statutory Compliance Tracker — PF / ESI — Hatsoff</t>
  </si>
  <si>
    <t xml:space="preserve">Monthly employer + employee contribution estimates  |  PF 12%+13.15%, ESI 0.75%+3.25%</t>
  </si>
  <si>
    <t xml:space="preserve">PF: Employer 13.15% + Employee 12% of Basic. ESI: Employer 3.25% + Employee 0.75% of Gross (if &lt;= Rs.21,000/mo)</t>
  </si>
  <si>
    <t xml:space="preserve">Wage Bill (Rs.)</t>
  </si>
  <si>
    <t xml:space="preserve">Emp PF (Rs.)</t>
  </si>
  <si>
    <t xml:space="preserve">Er PF (Rs.)</t>
  </si>
  <si>
    <t xml:space="preserve">Total PF (Rs.)</t>
  </si>
  <si>
    <t xml:space="preserve">Emp ESI (Rs.)</t>
  </si>
  <si>
    <t xml:space="preserve">Er ESI (Rs.)</t>
  </si>
  <si>
    <t xml:space="preserve">Total ESI (Rs.)</t>
  </si>
  <si>
    <t xml:space="preserve">Total Statutory (Rs.)</t>
  </si>
  <si>
    <t xml:space="preserve">Status</t>
  </si>
  <si>
    <t xml:space="preserve">Filed</t>
  </si>
  <si>
    <t xml:space="preserve">DIGITAL MUSTER ROLL — ROADMAP</t>
  </si>
  <si>
    <t xml:space="preserve">Paper register -&gt; WhatsApp -&gt; Portal -&gt; Digital Check-In -&gt; Auto-Payroll -&gt; SaaS</t>
  </si>
  <si>
    <t xml:space="preserve">DONE</t>
  </si>
  <si>
    <t xml:space="preserve">Phase 0 — Paper Muster Roll</t>
  </si>
  <si>
    <t xml:space="preserve">Supervisor fills paper register daily. Month-end: Excel submitted to admin. Manual payroll.</t>
  </si>
  <si>
    <t xml:space="preserve">Pain: data loss, calculation errors, zero real-time visibility</t>
  </si>
  <si>
    <t xml:space="preserve">Phase 1 — This Excel Workbook</t>
  </si>
  <si>
    <t xml:space="preserve">Digitise 33 months of Hatsoff data. Payroll calculator, billing tracker, leave tracker, compliance. Single source of truth.</t>
  </si>
  <si>
    <t xml:space="preserve">Outcome: Accounts and billing now work from one file</t>
  </si>
  <si>
    <t xml:space="preserve">IN PROGRESS</t>
  </si>
  <si>
    <t xml:space="preserve">Phase 2 — Client + Employee Portals</t>
  </si>
  <si>
    <t xml:space="preserve">Employee sees own attendance and payslips. Client sees guard deployment and invoices. Admin posts announcements.</t>
  </si>
  <si>
    <t xml:space="preserve">Built on vagtservices.com | Stack: HTML + Firebase + Supabase (Phase 2b)</t>
  </si>
  <si>
    <t xml:space="preserve">NEXT</t>
  </si>
  <si>
    <t xml:space="preserve">Phase 3 — Digital Check-In</t>
  </si>
  <si>
    <t xml:space="preserve">Guard scans QR code at site on phone. Supervisor gets push notification to approve. Muster roll auto-fills in real time.</t>
  </si>
  <si>
    <t xml:space="preserve">Stack: Mobile PWA + Supabase + SMS OTP | No app store needed</t>
  </si>
  <si>
    <t xml:space="preserve">PLANNED</t>
  </si>
  <si>
    <t xml:space="preserve">Phase 4 — Auto Payslip Generation</t>
  </si>
  <si>
    <t xml:space="preserve">On month close: system auto-calculates wages, PF, ESI per guard. Payslip PDF auto-sent via WhatsApp to each guard.</t>
  </si>
  <si>
    <t xml:space="preserve">Stack: Supabase Edge Functions + pdfmake + WhatsApp Business API</t>
  </si>
  <si>
    <t xml:space="preserve">Phase 5 — Client Auto-Billing</t>
  </si>
  <si>
    <t xml:space="preserve">Invoice auto-generated from guard-days. Sent to client email. Payment status tracked. Ageing report live.</t>
  </si>
  <si>
    <t xml:space="preserve">Stack: Supabase + Tally API or Zoho Books integration</t>
  </si>
  <si>
    <t xml:space="preserve">Phase 6 — Analytics SaaS</t>
  </si>
  <si>
    <t xml:space="preserve">Multi-site dashboard. Guard reliability scores. OT cost trends. Client SLA heatmaps. Attrition alerts. VAGT management BI.</t>
  </si>
  <si>
    <t xml:space="preserve">Stack: Supabase + custom React + Chart.js | Potential product for other security companies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</si>
</sst>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C400"/>
      <name val="Arial"/>
      <family val="0"/>
      <charset val="1"/>
    </font>
    <font>
      <sz val="11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20"/>
      <color rgb="FF0B112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color rgb="FF0B11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55724"/>
      <name val="Arial"/>
      <family val="0"/>
      <charset val="1"/>
    </font>
    <font>
      <b val="true"/>
      <sz val="10"/>
      <color rgb="FF0B1120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8"/>
      <color rgb="FF0D47A1"/>
      <name val="Arial"/>
      <family val="0"/>
      <charset val="1"/>
    </font>
    <font>
      <b val="true"/>
      <sz val="8"/>
      <color rgb="FFE65100"/>
      <name val="Arial"/>
      <family val="0"/>
      <charset val="1"/>
    </font>
    <font>
      <b val="true"/>
      <sz val="8"/>
      <color rgb="FF4A148C"/>
      <name val="Arial"/>
      <family val="0"/>
      <charset val="1"/>
    </font>
    <font>
      <b val="true"/>
      <sz val="8"/>
      <color rgb="FF880E4F"/>
      <name val="Arial"/>
      <family val="0"/>
      <charset val="1"/>
    </font>
    <font>
      <b val="true"/>
      <sz val="8"/>
      <color rgb="FF006064"/>
      <name val="Arial"/>
      <family val="0"/>
      <charset val="1"/>
    </font>
    <font>
      <b val="true"/>
      <sz val="8"/>
      <color rgb="FF424242"/>
      <name val="Arial"/>
      <family val="0"/>
      <charset val="1"/>
    </font>
    <font>
      <b val="true"/>
      <sz val="14"/>
      <color rgb="FFF5C4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92700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D6A4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16"/>
      <color rgb="FFF5C400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12"/>
      <color rgb="FF0B1120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004085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9"/>
      <color rgb="FF424242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B1120"/>
        <bgColor rgb="FF000000"/>
      </patternFill>
    </fill>
    <fill>
      <patternFill patternType="solid">
        <fgColor rgb="FFFFF8E0"/>
        <bgColor rgb="FFFFF3E0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8E0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FE9E9"/>
      </patternFill>
    </fill>
    <fill>
      <patternFill patternType="solid">
        <fgColor rgb="FFE0F7FA"/>
        <bgColor rgb="FFE3F2FD"/>
      </patternFill>
    </fill>
    <fill>
      <patternFill patternType="solid">
        <fgColor rgb="FFF5F5F5"/>
        <bgColor rgb="FFF8F7F4"/>
      </patternFill>
    </fill>
    <fill>
      <patternFill patternType="solid">
        <fgColor rgb="FFF8F7F4"/>
        <bgColor rgb="FFF5F5F5"/>
      </patternFill>
    </fill>
    <fill>
      <patternFill patternType="solid">
        <fgColor rgb="FF444444"/>
        <bgColor rgb="FF424242"/>
      </patternFill>
    </fill>
    <fill>
      <patternFill patternType="solid">
        <fgColor rgb="FFEEF4FF"/>
        <bgColor rgb="FFF5F5F5"/>
      </patternFill>
    </fill>
    <fill>
      <patternFill patternType="solid">
        <fgColor rgb="FFFFE9E9"/>
        <bgColor rgb="FFFCE4EC"/>
      </patternFill>
    </fill>
    <fill>
      <patternFill patternType="solid">
        <fgColor rgb="FFFF2323"/>
        <bgColor rgb="FFFF3939"/>
      </patternFill>
    </fill>
    <fill>
      <patternFill patternType="solid">
        <fgColor rgb="FFFFA7A7"/>
        <bgColor rgb="FFFF9191"/>
      </patternFill>
    </fill>
    <fill>
      <patternFill patternType="solid">
        <fgColor rgb="FFFF3939"/>
        <bgColor rgb="FFE63946"/>
      </patternFill>
    </fill>
    <fill>
      <patternFill patternType="solid">
        <fgColor rgb="FFFF7B7B"/>
        <bgColor rgb="FFFF9191"/>
      </patternFill>
    </fill>
    <fill>
      <patternFill patternType="solid">
        <fgColor rgb="FFFF9191"/>
        <bgColor rgb="FFFF7B7B"/>
      </patternFill>
    </fill>
    <fill>
      <patternFill patternType="solid">
        <fgColor rgb="FFFFD3D3"/>
        <bgColor rgb="FFF8D7DA"/>
      </patternFill>
    </fill>
    <fill>
      <patternFill patternType="solid">
        <fgColor rgb="FFFF4F4F"/>
        <bgColor rgb="FFFF3939"/>
      </patternFill>
    </fill>
    <fill>
      <patternFill patternType="solid">
        <fgColor rgb="FFFF6565"/>
        <bgColor rgb="FFFF7B7B"/>
      </patternFill>
    </fill>
    <fill>
      <patternFill patternType="solid">
        <fgColor rgb="FFFFBDBD"/>
        <bgColor rgb="FFFFD3D3"/>
      </patternFill>
    </fill>
    <fill>
      <patternFill patternType="solid">
        <fgColor rgb="FFFFF3CD"/>
        <bgColor rgb="FFFFF3E0"/>
      </patternFill>
    </fill>
    <fill>
      <patternFill patternType="solid">
        <fgColor rgb="FFCCE5FF"/>
        <bgColor rgb="FFE3F2FD"/>
      </patternFill>
    </fill>
    <fill>
      <patternFill patternType="solid">
        <fgColor rgb="FFF8D7DA"/>
        <bgColor rgb="FFFFD3D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F5C400"/>
      </left>
      <right/>
      <top/>
      <bottom style="thin">
        <color rgb="FFD0D0D0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3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4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4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5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4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4" fillId="2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5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4" fillId="2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7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6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4" fillId="2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10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4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112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2323"/>
      <rgbColor rgb="FFFFE9E9"/>
      <rgbColor rgb="FF0000FF"/>
      <rgbColor rgb="FFFFF3E0"/>
      <rgbColor rgb="FFFF3939"/>
      <rgbColor rgb="FFF5F5F5"/>
      <rgbColor rgb="FF721C24"/>
      <rgbColor rgb="FF155724"/>
      <rgbColor rgb="FF555555"/>
      <rgbColor rgb="FF92700A"/>
      <rgbColor rgb="FF880E4F"/>
      <rgbColor rgb="FF0891B2"/>
      <rgbColor rgb="FFAAAAAA"/>
      <rgbColor rgb="FF7B7B7B"/>
      <rgbColor rgb="FFF8D7DA"/>
      <rgbColor rgb="FFDC2626"/>
      <rgbColor rgb="FFFFF8E0"/>
      <rgbColor rgb="FFE0F7FA"/>
      <rgbColor rgb="FF4A148C"/>
      <rgbColor rgb="FFFF7B7B"/>
      <rgbColor rgb="FF2D6A4F"/>
      <rgbColor rgb="FFD0D0D0"/>
      <rgbColor rgb="FFE65100"/>
      <rgbColor rgb="FFFF4F4F"/>
      <rgbColor rgb="FFFFD3D3"/>
      <rgbColor rgb="FFF8F7F4"/>
      <rgbColor rgb="FF6D28D9"/>
      <rgbColor rgb="FF444444"/>
      <rgbColor rgb="FF006064"/>
      <rgbColor rgb="FF7C3AED"/>
      <rgbColor rgb="FFFCE4EC"/>
      <rgbColor rgb="FFE3F2FD"/>
      <rgbColor rgb="FFE8F5E9"/>
      <rgbColor rgb="FFFFF3CD"/>
      <rgbColor rgb="FFCCE5FF"/>
      <rgbColor rgb="FFFFA7A7"/>
      <rgbColor rgb="FFFF9191"/>
      <rgbColor rgb="FFFFBDBD"/>
      <rgbColor rgb="FF2563EB"/>
      <rgbColor rgb="FFEEF4FF"/>
      <rgbColor rgb="FFF3E5F5"/>
      <rgbColor rgb="FFF5C400"/>
      <rgbColor rgb="FFFF6565"/>
      <rgbColor rgb="FFEA580C"/>
      <rgbColor rgb="FF475569"/>
      <rgbColor rgb="FF999999"/>
      <rgbColor rgb="FF004085"/>
      <rgbColor rgb="FF16A34A"/>
      <rgbColor rgb="FF0B1120"/>
      <rgbColor rgb="FF424242"/>
      <rgbColor rgb="FF856404"/>
      <rgbColor rgb="FFE6394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Guard-Days Present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Trends'!C6</c:f>
              <c:strCache>
                <c:ptCount val="1"/>
                <c:pt idx="0">
                  <c:v>Total Present</c:v>
                </c:pt>
              </c:strCache>
            </c:strRef>
          </c:tx>
          <c:spPr>
            <a:solidFill>
              <a:srgbClr val="0b1120"/>
            </a:solidFill>
            <a:ln w="20160">
              <a:solidFill>
                <a:srgbClr val="0b11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Trends'!$A$7:$A$39</c:f>
              <c:strCache>
                <c:ptCount val="33"/>
                <c:pt idx="0">
                  <c:v>MAY-2023</c:v>
                </c:pt>
                <c:pt idx="1">
                  <c:v>JUN-2023</c:v>
                </c:pt>
                <c:pt idx="2">
                  <c:v>JUL-2023</c:v>
                </c:pt>
                <c:pt idx="3">
                  <c:v>AUG-2023</c:v>
                </c:pt>
                <c:pt idx="4">
                  <c:v>SEP-2023</c:v>
                </c:pt>
                <c:pt idx="5">
                  <c:v>OCT-2023</c:v>
                </c:pt>
                <c:pt idx="6">
                  <c:v>NOV-2023</c:v>
                </c:pt>
                <c:pt idx="7">
                  <c:v>DEC-2023</c:v>
                </c:pt>
                <c:pt idx="8">
                  <c:v>JAN-2024</c:v>
                </c:pt>
                <c:pt idx="9">
                  <c:v>FEB-2024</c:v>
                </c:pt>
                <c:pt idx="10">
                  <c:v>MAR-2024</c:v>
                </c:pt>
                <c:pt idx="11">
                  <c:v>APR-2024</c:v>
                </c:pt>
                <c:pt idx="12">
                  <c:v>MAY-2024</c:v>
                </c:pt>
                <c:pt idx="13">
                  <c:v>JUN-2024</c:v>
                </c:pt>
                <c:pt idx="14">
                  <c:v>JUL-2024</c:v>
                </c:pt>
                <c:pt idx="15">
                  <c:v>AUG-2024</c:v>
                </c:pt>
                <c:pt idx="16">
                  <c:v>SEP-2024</c:v>
                </c:pt>
                <c:pt idx="17">
                  <c:v>OCT-2024</c:v>
                </c:pt>
                <c:pt idx="18">
                  <c:v>NOV-2024</c:v>
                </c:pt>
                <c:pt idx="19">
                  <c:v>DEC-2024</c:v>
                </c:pt>
                <c:pt idx="20">
                  <c:v>JAN-2025</c:v>
                </c:pt>
                <c:pt idx="21">
                  <c:v>FEB-2025</c:v>
                </c:pt>
                <c:pt idx="22">
                  <c:v>MAR-2025</c:v>
                </c:pt>
                <c:pt idx="23">
                  <c:v>APR-2025</c:v>
                </c:pt>
                <c:pt idx="24">
                  <c:v>MAY-2025</c:v>
                </c:pt>
                <c:pt idx="25">
                  <c:v>JUN-2025</c:v>
                </c:pt>
                <c:pt idx="26">
                  <c:v>JUL-2025</c:v>
                </c:pt>
                <c:pt idx="27">
                  <c:v>AUG-2025</c:v>
                </c:pt>
                <c:pt idx="28">
                  <c:v>SEP-2025</c:v>
                </c:pt>
                <c:pt idx="29">
                  <c:v>OCT-2025</c:v>
                </c:pt>
                <c:pt idx="30">
                  <c:v>NOV-2025</c:v>
                </c:pt>
                <c:pt idx="31">
                  <c:v>DEC-2025</c:v>
                </c:pt>
                <c:pt idx="32">
                  <c:v>JAN-2026</c:v>
                </c:pt>
              </c:strCache>
            </c:strRef>
          </c:cat>
          <c:val>
            <c:numRef>
              <c:f>'Monthly Trends'!$C$7:$C$39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215</c:v>
                </c:pt>
                <c:pt idx="13">
                  <c:v>181</c:v>
                </c:pt>
                <c:pt idx="14">
                  <c:v>212</c:v>
                </c:pt>
                <c:pt idx="15">
                  <c:v>162</c:v>
                </c:pt>
                <c:pt idx="16">
                  <c:v>155</c:v>
                </c:pt>
                <c:pt idx="17">
                  <c:v>152</c:v>
                </c:pt>
                <c:pt idx="18">
                  <c:v>186</c:v>
                </c:pt>
                <c:pt idx="19">
                  <c:v>203</c:v>
                </c:pt>
                <c:pt idx="20">
                  <c:v>190</c:v>
                </c:pt>
                <c:pt idx="21">
                  <c:v>174</c:v>
                </c:pt>
                <c:pt idx="22">
                  <c:v>183</c:v>
                </c:pt>
                <c:pt idx="23">
                  <c:v>172</c:v>
                </c:pt>
                <c:pt idx="24">
                  <c:v>200</c:v>
                </c:pt>
                <c:pt idx="25">
                  <c:v>185</c:v>
                </c:pt>
                <c:pt idx="26">
                  <c:v>203</c:v>
                </c:pt>
                <c:pt idx="27">
                  <c:v>210</c:v>
                </c:pt>
                <c:pt idx="28">
                  <c:v>178</c:v>
                </c:pt>
                <c:pt idx="29">
                  <c:v>240</c:v>
                </c:pt>
                <c:pt idx="30">
                  <c:v>247</c:v>
                </c:pt>
                <c:pt idx="31">
                  <c:v>242</c:v>
                </c:pt>
                <c:pt idx="32">
                  <c:v>229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50489"/>
        <c:axId val="94701622"/>
      </c:lineChart>
      <c:catAx>
        <c:axId val="23450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701622"/>
        <c:crosses val="autoZero"/>
        <c:auto val="1"/>
        <c:lblAlgn val="ctr"/>
        <c:lblOffset val="100"/>
        <c:noMultiLvlLbl val="0"/>
      </c:catAx>
      <c:valAx>
        <c:axId val="94701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4504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8</xdr:col>
      <xdr:colOff>518760</xdr:colOff>
      <xdr:row>62</xdr:row>
      <xdr:rowOff>128520</xdr:rowOff>
    </xdr:to>
    <xdr:graphicFrame>
      <xdr:nvGraphicFramePr>
        <xdr:cNvPr id="0" name="Chart 1"/>
        <xdr:cNvGraphicFramePr/>
      </xdr:nvGraphicFramePr>
      <xdr:xfrm>
        <a:off x="0" y="77342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120"/>
    <pageSetUpPr fitToPage="false"/>
  </sheetPr>
  <dimension ref="A1:S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38"/>
    <col collapsed="false" customWidth="true" hidden="false" outlineLevel="0" max="6" min="6" style="0" width="2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9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36" hidden="false" customHeight="true" outlineLevel="0" collapsed="false">
      <c r="A3" s="1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</row>
    <row r="4" customFormat="false" ht="24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"/>
    </row>
    <row r="5" customFormat="false" ht="18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"/>
    </row>
    <row r="6" customFormat="false" ht="7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8" customFormat="false" ht="7.5" hidden="false" customHeight="true" outlineLevel="0" collapsed="false"/>
    <row r="9" customFormat="false" ht="42" hidden="false" customHeight="true" outlineLevel="0" collapsed="false">
      <c r="B9" s="5" t="s">
        <v>3</v>
      </c>
      <c r="C9" s="5"/>
      <c r="D9" s="5" t="s">
        <v>4</v>
      </c>
      <c r="E9" s="5"/>
      <c r="F9" s="5" t="s">
        <v>5</v>
      </c>
      <c r="G9" s="5"/>
      <c r="H9" s="5" t="s">
        <v>6</v>
      </c>
      <c r="I9" s="5"/>
      <c r="J9" s="5" t="s">
        <v>7</v>
      </c>
      <c r="K9" s="5"/>
      <c r="L9" s="5" t="s">
        <v>8</v>
      </c>
      <c r="M9" s="5"/>
    </row>
    <row r="10" customFormat="false" ht="21.75" hidden="false" customHeight="true" outlineLevel="0" collapsed="false">
      <c r="B10" s="6" t="s">
        <v>9</v>
      </c>
      <c r="C10" s="6"/>
      <c r="D10" s="6" t="s">
        <v>10</v>
      </c>
      <c r="E10" s="6"/>
      <c r="F10" s="6" t="s">
        <v>11</v>
      </c>
      <c r="G10" s="6"/>
      <c r="H10" s="6" t="s">
        <v>12</v>
      </c>
      <c r="I10" s="6"/>
      <c r="J10" s="6" t="s">
        <v>13</v>
      </c>
      <c r="K10" s="6"/>
      <c r="L10" s="6" t="s">
        <v>14</v>
      </c>
      <c r="M10" s="6"/>
    </row>
    <row r="12" customFormat="false" ht="6" hidden="false" customHeight="true" outlineLevel="0" collapsed="false"/>
    <row r="13" customFormat="false" ht="21.75" hidden="false" customHeight="true" outlineLevel="0" collapsed="false">
      <c r="B13" s="7" t="s">
        <v>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customFormat="false" ht="6" hidden="false" customHeight="true" outlineLevel="0" collapsed="false"/>
    <row r="15" customFormat="false" ht="18" hidden="false" customHeight="true" outlineLevel="0" collapsed="false"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</row>
    <row r="16" customFormat="false" ht="25.5" hidden="false" customHeight="true" outlineLevel="0" collapsed="false">
      <c r="B16" s="9" t="s">
        <v>21</v>
      </c>
      <c r="C16" s="10" t="s">
        <v>22</v>
      </c>
      <c r="D16" s="11" t="s">
        <v>23</v>
      </c>
      <c r="E16" s="12" t="s">
        <v>24</v>
      </c>
      <c r="F16" s="13" t="s">
        <v>25</v>
      </c>
    </row>
    <row r="17" customFormat="false" ht="25.5" hidden="false" customHeight="true" outlineLevel="0" collapsed="false">
      <c r="B17" s="9" t="s">
        <v>21</v>
      </c>
      <c r="C17" s="10" t="s">
        <v>26</v>
      </c>
      <c r="D17" s="11" t="s">
        <v>27</v>
      </c>
      <c r="E17" s="12" t="s">
        <v>28</v>
      </c>
      <c r="F17" s="13" t="s">
        <v>29</v>
      </c>
    </row>
    <row r="18" customFormat="false" ht="25.5" hidden="false" customHeight="true" outlineLevel="0" collapsed="false">
      <c r="B18" s="14" t="s">
        <v>30</v>
      </c>
      <c r="C18" s="15" t="s">
        <v>31</v>
      </c>
      <c r="D18" s="16" t="s">
        <v>32</v>
      </c>
      <c r="E18" s="17" t="s">
        <v>33</v>
      </c>
      <c r="F18" s="18" t="s">
        <v>34</v>
      </c>
    </row>
    <row r="19" customFormat="false" ht="25.5" hidden="false" customHeight="true" outlineLevel="0" collapsed="false">
      <c r="B19" s="14" t="s">
        <v>30</v>
      </c>
      <c r="C19" s="15" t="s">
        <v>35</v>
      </c>
      <c r="D19" s="16" t="s">
        <v>36</v>
      </c>
      <c r="E19" s="17" t="s">
        <v>37</v>
      </c>
      <c r="F19" s="18" t="s">
        <v>34</v>
      </c>
    </row>
    <row r="20" customFormat="false" ht="25.5" hidden="false" customHeight="true" outlineLevel="0" collapsed="false">
      <c r="B20" s="19" t="s">
        <v>38</v>
      </c>
      <c r="C20" s="20" t="s">
        <v>39</v>
      </c>
      <c r="D20" s="21" t="s">
        <v>40</v>
      </c>
      <c r="E20" s="22" t="s">
        <v>41</v>
      </c>
      <c r="F20" s="23" t="s">
        <v>42</v>
      </c>
    </row>
    <row r="21" customFormat="false" ht="25.5" hidden="false" customHeight="true" outlineLevel="0" collapsed="false">
      <c r="B21" s="19" t="s">
        <v>38</v>
      </c>
      <c r="C21" s="20" t="s">
        <v>43</v>
      </c>
      <c r="D21" s="21" t="s">
        <v>44</v>
      </c>
      <c r="E21" s="22" t="s">
        <v>45</v>
      </c>
      <c r="F21" s="23" t="s">
        <v>46</v>
      </c>
    </row>
    <row r="22" customFormat="false" ht="25.5" hidden="false" customHeight="true" outlineLevel="0" collapsed="false">
      <c r="B22" s="19" t="s">
        <v>38</v>
      </c>
      <c r="C22" s="20" t="s">
        <v>47</v>
      </c>
      <c r="D22" s="21" t="s">
        <v>48</v>
      </c>
      <c r="E22" s="22" t="s">
        <v>49</v>
      </c>
      <c r="F22" s="23" t="s">
        <v>46</v>
      </c>
    </row>
    <row r="23" customFormat="false" ht="25.5" hidden="false" customHeight="true" outlineLevel="0" collapsed="false">
      <c r="B23" s="24" t="s">
        <v>50</v>
      </c>
      <c r="C23" s="25" t="s">
        <v>51</v>
      </c>
      <c r="D23" s="26" t="s">
        <v>52</v>
      </c>
      <c r="E23" s="27" t="s">
        <v>53</v>
      </c>
      <c r="F23" s="28" t="s">
        <v>54</v>
      </c>
    </row>
    <row r="24" customFormat="false" ht="25.5" hidden="false" customHeight="true" outlineLevel="0" collapsed="false">
      <c r="B24" s="24" t="s">
        <v>50</v>
      </c>
      <c r="C24" s="25" t="s">
        <v>55</v>
      </c>
      <c r="D24" s="26" t="s">
        <v>56</v>
      </c>
      <c r="E24" s="27" t="s">
        <v>57</v>
      </c>
      <c r="F24" s="28" t="s">
        <v>58</v>
      </c>
    </row>
    <row r="25" customFormat="false" ht="25.5" hidden="false" customHeight="true" outlineLevel="0" collapsed="false">
      <c r="B25" s="24" t="s">
        <v>50</v>
      </c>
      <c r="C25" s="25" t="s">
        <v>59</v>
      </c>
      <c r="D25" s="26" t="s">
        <v>60</v>
      </c>
      <c r="E25" s="27" t="s">
        <v>61</v>
      </c>
      <c r="F25" s="28" t="s">
        <v>46</v>
      </c>
    </row>
    <row r="26" customFormat="false" ht="25.5" hidden="false" customHeight="true" outlineLevel="0" collapsed="false">
      <c r="B26" s="29" t="s">
        <v>62</v>
      </c>
      <c r="C26" s="30" t="s">
        <v>63</v>
      </c>
      <c r="D26" s="31" t="s">
        <v>64</v>
      </c>
      <c r="E26" s="32" t="s">
        <v>65</v>
      </c>
      <c r="F26" s="33" t="s">
        <v>25</v>
      </c>
    </row>
    <row r="27" customFormat="false" ht="25.5" hidden="false" customHeight="true" outlineLevel="0" collapsed="false">
      <c r="B27" s="29" t="s">
        <v>62</v>
      </c>
      <c r="C27" s="30" t="s">
        <v>66</v>
      </c>
      <c r="D27" s="31" t="s">
        <v>67</v>
      </c>
      <c r="E27" s="32" t="s">
        <v>68</v>
      </c>
      <c r="F27" s="33" t="s">
        <v>34</v>
      </c>
    </row>
    <row r="28" customFormat="false" ht="25.5" hidden="false" customHeight="true" outlineLevel="0" collapsed="false">
      <c r="B28" s="34" t="s">
        <v>69</v>
      </c>
      <c r="C28" s="35" t="s">
        <v>70</v>
      </c>
      <c r="D28" s="36" t="s">
        <v>71</v>
      </c>
      <c r="E28" s="37" t="s">
        <v>72</v>
      </c>
      <c r="F28" s="38" t="s">
        <v>54</v>
      </c>
    </row>
    <row r="29" customFormat="false" ht="25.5" hidden="false" customHeight="true" outlineLevel="0" collapsed="false">
      <c r="B29" s="34" t="s">
        <v>69</v>
      </c>
      <c r="C29" s="35" t="s">
        <v>73</v>
      </c>
      <c r="D29" s="36" t="s">
        <v>74</v>
      </c>
      <c r="E29" s="37" t="s">
        <v>75</v>
      </c>
      <c r="F29" s="38" t="s">
        <v>54</v>
      </c>
    </row>
    <row r="30" customFormat="false" ht="25.5" hidden="false" customHeight="true" outlineLevel="0" collapsed="false">
      <c r="B30" s="39" t="s">
        <v>76</v>
      </c>
      <c r="C30" s="40" t="s">
        <v>77</v>
      </c>
      <c r="D30" s="41" t="s">
        <v>78</v>
      </c>
      <c r="E30" s="42" t="s">
        <v>79</v>
      </c>
      <c r="F30" s="43" t="s">
        <v>80</v>
      </c>
    </row>
    <row r="31" customFormat="false" ht="25.5" hidden="false" customHeight="true" outlineLevel="0" collapsed="false">
      <c r="B31" s="39" t="s">
        <v>76</v>
      </c>
      <c r="C31" s="40" t="s">
        <v>81</v>
      </c>
      <c r="D31" s="41" t="s">
        <v>82</v>
      </c>
      <c r="E31" s="42" t="s">
        <v>83</v>
      </c>
      <c r="F31" s="43" t="s">
        <v>80</v>
      </c>
    </row>
  </sheetData>
  <mergeCells count="16">
    <mergeCell ref="B3:R3"/>
    <mergeCell ref="B4:R4"/>
    <mergeCell ref="B5:R5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3:R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S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84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85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19.5" hidden="false" customHeight="true" outlineLevel="0" collapsed="false">
      <c r="A6" s="46" t="s">
        <v>86</v>
      </c>
      <c r="B6" s="46" t="s">
        <v>87</v>
      </c>
      <c r="C6" s="46" t="s">
        <v>88</v>
      </c>
      <c r="D6" s="46" t="s">
        <v>89</v>
      </c>
      <c r="E6" s="46" t="s">
        <v>90</v>
      </c>
      <c r="F6" s="46" t="s">
        <v>91</v>
      </c>
      <c r="G6" s="46" t="s">
        <v>92</v>
      </c>
      <c r="H6" s="46" t="s">
        <v>93</v>
      </c>
      <c r="I6" s="46" t="s">
        <v>94</v>
      </c>
      <c r="J6" s="46" t="s">
        <v>95</v>
      </c>
    </row>
    <row r="7" customFormat="false" ht="15" hidden="false" customHeight="false" outlineLevel="0" collapsed="false">
      <c r="A7" s="47" t="s">
        <v>96</v>
      </c>
      <c r="B7" s="47"/>
      <c r="C7" s="47" t="s">
        <v>97</v>
      </c>
      <c r="D7" s="47" t="s">
        <v>98</v>
      </c>
      <c r="E7" s="48" t="n">
        <v>0</v>
      </c>
      <c r="F7" s="48" t="n">
        <v>4</v>
      </c>
      <c r="G7" s="48" t="n">
        <v>0</v>
      </c>
      <c r="H7" s="48" t="n">
        <v>0</v>
      </c>
      <c r="I7" s="48" t="n">
        <v>0</v>
      </c>
      <c r="J7" s="48" t="n">
        <v>0</v>
      </c>
    </row>
    <row r="8" customFormat="false" ht="15" hidden="false" customHeight="false" outlineLevel="0" collapsed="false">
      <c r="A8" s="49" t="s">
        <v>96</v>
      </c>
      <c r="B8" s="49" t="n">
        <v>16</v>
      </c>
      <c r="C8" s="49" t="s">
        <v>97</v>
      </c>
      <c r="D8" s="49" t="s">
        <v>99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</row>
    <row r="9" customFormat="false" ht="15" hidden="false" customHeight="false" outlineLevel="0" collapsed="false">
      <c r="A9" s="51" t="s">
        <v>96</v>
      </c>
      <c r="B9" s="51" t="n">
        <v>245</v>
      </c>
      <c r="C9" s="51" t="s">
        <v>100</v>
      </c>
      <c r="D9" s="51" t="s">
        <v>101</v>
      </c>
      <c r="E9" s="52" t="n">
        <v>0</v>
      </c>
      <c r="F9" s="52" t="n">
        <v>2</v>
      </c>
      <c r="G9" s="52" t="n">
        <v>0</v>
      </c>
      <c r="H9" s="52" t="n">
        <v>0</v>
      </c>
      <c r="I9" s="52" t="n">
        <v>0</v>
      </c>
      <c r="J9" s="52" t="n">
        <v>0</v>
      </c>
    </row>
    <row r="10" customFormat="false" ht="15" hidden="false" customHeight="false" outlineLevel="0" collapsed="false">
      <c r="A10" s="49" t="s">
        <v>96</v>
      </c>
      <c r="B10" s="49" t="n">
        <v>285</v>
      </c>
      <c r="C10" s="49" t="s">
        <v>97</v>
      </c>
      <c r="D10" s="49" t="s">
        <v>102</v>
      </c>
      <c r="E10" s="50" t="n">
        <v>0</v>
      </c>
      <c r="F10" s="50" t="n">
        <v>7</v>
      </c>
      <c r="G10" s="50" t="n">
        <v>0</v>
      </c>
      <c r="H10" s="50" t="n">
        <v>0</v>
      </c>
      <c r="I10" s="50" t="n">
        <v>0</v>
      </c>
      <c r="J10" s="50" t="n">
        <v>0</v>
      </c>
    </row>
    <row r="11" customFormat="false" ht="15" hidden="false" customHeight="false" outlineLevel="0" collapsed="false">
      <c r="A11" s="47" t="s">
        <v>96</v>
      </c>
      <c r="B11" s="47" t="n">
        <v>285</v>
      </c>
      <c r="C11" s="47" t="s">
        <v>97</v>
      </c>
      <c r="D11" s="47" t="s">
        <v>103</v>
      </c>
      <c r="E11" s="48" t="n">
        <v>0</v>
      </c>
      <c r="F11" s="48" t="n">
        <v>7</v>
      </c>
      <c r="G11" s="48" t="n">
        <v>0</v>
      </c>
      <c r="H11" s="48" t="n">
        <v>0</v>
      </c>
      <c r="I11" s="48" t="n">
        <v>0</v>
      </c>
      <c r="J11" s="48" t="n">
        <v>0</v>
      </c>
    </row>
    <row r="12" customFormat="false" ht="15" hidden="false" customHeight="false" outlineLevel="0" collapsed="false">
      <c r="A12" s="49" t="s">
        <v>96</v>
      </c>
      <c r="B12" s="49" t="n">
        <v>321</v>
      </c>
      <c r="C12" s="49" t="s">
        <v>104</v>
      </c>
      <c r="D12" s="49" t="s">
        <v>105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</row>
    <row r="13" customFormat="false" ht="15" hidden="false" customHeight="false" outlineLevel="0" collapsed="false">
      <c r="A13" s="51" t="s">
        <v>96</v>
      </c>
      <c r="B13" s="51" t="n">
        <v>7</v>
      </c>
      <c r="C13" s="51" t="s">
        <v>100</v>
      </c>
      <c r="D13" s="51" t="s">
        <v>106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</row>
    <row r="14" customFormat="false" ht="15" hidden="false" customHeight="false" outlineLevel="0" collapsed="false">
      <c r="A14" s="49" t="s">
        <v>96</v>
      </c>
      <c r="B14" s="49" t="n">
        <v>813</v>
      </c>
      <c r="C14" s="49" t="s">
        <v>97</v>
      </c>
      <c r="D14" s="49" t="s">
        <v>107</v>
      </c>
      <c r="E14" s="50" t="n">
        <v>0</v>
      </c>
      <c r="F14" s="50" t="n">
        <v>5</v>
      </c>
      <c r="G14" s="50" t="n">
        <v>0</v>
      </c>
      <c r="H14" s="50" t="n">
        <v>0</v>
      </c>
      <c r="I14" s="50" t="n">
        <v>0</v>
      </c>
      <c r="J14" s="50" t="n">
        <v>0</v>
      </c>
    </row>
    <row r="15" customFormat="false" ht="15" hidden="false" customHeight="false" outlineLevel="0" collapsed="false">
      <c r="A15" s="47" t="s">
        <v>96</v>
      </c>
      <c r="B15" s="47" t="n">
        <v>98</v>
      </c>
      <c r="C15" s="47" t="s">
        <v>97</v>
      </c>
      <c r="D15" s="47" t="s">
        <v>108</v>
      </c>
      <c r="E15" s="48" t="n">
        <v>0</v>
      </c>
      <c r="F15" s="48" t="n">
        <v>7</v>
      </c>
      <c r="G15" s="48" t="n">
        <v>0</v>
      </c>
      <c r="H15" s="48" t="n">
        <v>0</v>
      </c>
      <c r="I15" s="48" t="n">
        <v>0</v>
      </c>
      <c r="J15" s="48" t="n">
        <v>0</v>
      </c>
    </row>
    <row r="16" customFormat="false" ht="15" hidden="false" customHeight="false" outlineLevel="0" collapsed="false">
      <c r="A16" s="49" t="s">
        <v>109</v>
      </c>
      <c r="B16" s="49"/>
      <c r="C16" s="49" t="s">
        <v>97</v>
      </c>
      <c r="D16" s="49" t="s">
        <v>98</v>
      </c>
      <c r="E16" s="50" t="n">
        <v>0</v>
      </c>
      <c r="F16" s="50" t="n">
        <v>4</v>
      </c>
      <c r="G16" s="50" t="n">
        <v>0</v>
      </c>
      <c r="H16" s="50" t="n">
        <v>0</v>
      </c>
      <c r="I16" s="50" t="n">
        <v>0</v>
      </c>
      <c r="J16" s="50" t="n">
        <v>0</v>
      </c>
    </row>
    <row r="17" customFormat="false" ht="15" hidden="false" customHeight="false" outlineLevel="0" collapsed="false">
      <c r="A17" s="47" t="s">
        <v>109</v>
      </c>
      <c r="B17" s="47" t="n">
        <v>16</v>
      </c>
      <c r="C17" s="47" t="s">
        <v>97</v>
      </c>
      <c r="D17" s="47" t="s">
        <v>99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</row>
    <row r="18" customFormat="false" ht="15" hidden="false" customHeight="false" outlineLevel="0" collapsed="false">
      <c r="A18" s="49" t="s">
        <v>109</v>
      </c>
      <c r="B18" s="49" t="n">
        <v>245</v>
      </c>
      <c r="C18" s="49" t="s">
        <v>100</v>
      </c>
      <c r="D18" s="49" t="s">
        <v>101</v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0</v>
      </c>
      <c r="J18" s="50" t="n">
        <v>0</v>
      </c>
    </row>
    <row r="19" customFormat="false" ht="15" hidden="false" customHeight="false" outlineLevel="0" collapsed="false">
      <c r="A19" s="47" t="s">
        <v>109</v>
      </c>
      <c r="B19" s="47" t="n">
        <v>285</v>
      </c>
      <c r="C19" s="47" t="s">
        <v>97</v>
      </c>
      <c r="D19" s="47" t="s">
        <v>102</v>
      </c>
      <c r="E19" s="48" t="n">
        <v>0</v>
      </c>
      <c r="F19" s="48" t="n">
        <v>8</v>
      </c>
      <c r="G19" s="48" t="n">
        <v>0</v>
      </c>
      <c r="H19" s="48" t="n">
        <v>0</v>
      </c>
      <c r="I19" s="48" t="n">
        <v>0</v>
      </c>
      <c r="J19" s="48" t="n">
        <v>0</v>
      </c>
    </row>
    <row r="20" customFormat="false" ht="15" hidden="false" customHeight="false" outlineLevel="0" collapsed="false">
      <c r="A20" s="49" t="s">
        <v>109</v>
      </c>
      <c r="B20" s="49" t="n">
        <v>285</v>
      </c>
      <c r="C20" s="49" t="s">
        <v>97</v>
      </c>
      <c r="D20" s="49" t="s">
        <v>103</v>
      </c>
      <c r="E20" s="50" t="n">
        <v>0</v>
      </c>
      <c r="F20" s="50" t="n">
        <v>9</v>
      </c>
      <c r="G20" s="50" t="n">
        <v>0</v>
      </c>
      <c r="H20" s="50" t="n">
        <v>0</v>
      </c>
      <c r="I20" s="50" t="n">
        <v>0</v>
      </c>
      <c r="J20" s="50" t="n">
        <v>0</v>
      </c>
    </row>
    <row r="21" customFormat="false" ht="15" hidden="false" customHeight="false" outlineLevel="0" collapsed="false">
      <c r="A21" s="53" t="s">
        <v>109</v>
      </c>
      <c r="B21" s="53" t="n">
        <v>321</v>
      </c>
      <c r="C21" s="53" t="s">
        <v>104</v>
      </c>
      <c r="D21" s="53" t="s">
        <v>105</v>
      </c>
      <c r="E21" s="54" t="n">
        <v>0</v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</row>
    <row r="22" customFormat="false" ht="15" hidden="false" customHeight="false" outlineLevel="0" collapsed="false">
      <c r="A22" s="49" t="s">
        <v>109</v>
      </c>
      <c r="B22" s="49" t="n">
        <v>7</v>
      </c>
      <c r="C22" s="49" t="s">
        <v>100</v>
      </c>
      <c r="D22" s="49" t="s">
        <v>106</v>
      </c>
      <c r="E22" s="50" t="n">
        <v>0</v>
      </c>
      <c r="F22" s="50" t="n">
        <v>20</v>
      </c>
      <c r="G22" s="50" t="n">
        <v>0</v>
      </c>
      <c r="H22" s="50" t="n">
        <v>0</v>
      </c>
      <c r="I22" s="50" t="n">
        <v>0</v>
      </c>
      <c r="J22" s="50" t="n">
        <v>0</v>
      </c>
    </row>
    <row r="23" customFormat="false" ht="15" hidden="false" customHeight="false" outlineLevel="0" collapsed="false">
      <c r="A23" s="47" t="s">
        <v>109</v>
      </c>
      <c r="B23" s="47" t="n">
        <v>813</v>
      </c>
      <c r="C23" s="47" t="s">
        <v>97</v>
      </c>
      <c r="D23" s="47" t="s">
        <v>107</v>
      </c>
      <c r="E23" s="48" t="n">
        <v>0</v>
      </c>
      <c r="F23" s="48" t="n">
        <v>3</v>
      </c>
      <c r="G23" s="48" t="n">
        <v>0</v>
      </c>
      <c r="H23" s="48" t="n">
        <v>0</v>
      </c>
      <c r="I23" s="48" t="n">
        <v>0</v>
      </c>
      <c r="J23" s="48" t="n">
        <v>0</v>
      </c>
    </row>
    <row r="24" customFormat="false" ht="15" hidden="false" customHeight="false" outlineLevel="0" collapsed="false">
      <c r="A24" s="49" t="s">
        <v>109</v>
      </c>
      <c r="B24" s="49" t="n">
        <v>98</v>
      </c>
      <c r="C24" s="49" t="s">
        <v>97</v>
      </c>
      <c r="D24" s="49" t="s">
        <v>108</v>
      </c>
      <c r="E24" s="50" t="n">
        <v>0</v>
      </c>
      <c r="F24" s="50" t="n">
        <v>9</v>
      </c>
      <c r="G24" s="50" t="n">
        <v>0</v>
      </c>
      <c r="H24" s="50" t="n">
        <v>0</v>
      </c>
      <c r="I24" s="50" t="n">
        <v>0</v>
      </c>
      <c r="J24" s="50" t="n">
        <v>0</v>
      </c>
    </row>
    <row r="25" customFormat="false" ht="15" hidden="false" customHeight="false" outlineLevel="0" collapsed="false">
      <c r="A25" s="47" t="s">
        <v>110</v>
      </c>
      <c r="B25" s="47"/>
      <c r="C25" s="47" t="s">
        <v>97</v>
      </c>
      <c r="D25" s="47" t="s">
        <v>98</v>
      </c>
      <c r="E25" s="48" t="n">
        <v>0</v>
      </c>
      <c r="F25" s="48" t="n">
        <v>1</v>
      </c>
      <c r="G25" s="48" t="n">
        <v>0</v>
      </c>
      <c r="H25" s="48" t="n">
        <v>0</v>
      </c>
      <c r="I25" s="48" t="n">
        <v>0</v>
      </c>
      <c r="J25" s="48" t="n">
        <v>0</v>
      </c>
    </row>
    <row r="26" customFormat="false" ht="15" hidden="false" customHeight="false" outlineLevel="0" collapsed="false">
      <c r="A26" s="49" t="s">
        <v>110</v>
      </c>
      <c r="B26" s="49" t="n">
        <v>16</v>
      </c>
      <c r="C26" s="49" t="s">
        <v>97</v>
      </c>
      <c r="D26" s="49" t="s">
        <v>99</v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</row>
    <row r="27" customFormat="false" ht="15" hidden="false" customHeight="false" outlineLevel="0" collapsed="false">
      <c r="A27" s="51" t="s">
        <v>110</v>
      </c>
      <c r="B27" s="51" t="n">
        <v>245</v>
      </c>
      <c r="C27" s="51" t="s">
        <v>100</v>
      </c>
      <c r="D27" s="51" t="s">
        <v>101</v>
      </c>
      <c r="E27" s="52" t="n">
        <v>0</v>
      </c>
      <c r="F27" s="52" t="n">
        <v>17</v>
      </c>
      <c r="G27" s="52" t="n">
        <v>0</v>
      </c>
      <c r="H27" s="52" t="n">
        <v>0</v>
      </c>
      <c r="I27" s="52" t="n">
        <v>0</v>
      </c>
      <c r="J27" s="52" t="n">
        <v>0</v>
      </c>
    </row>
    <row r="28" customFormat="false" ht="15" hidden="false" customHeight="false" outlineLevel="0" collapsed="false">
      <c r="A28" s="49" t="s">
        <v>110</v>
      </c>
      <c r="B28" s="49" t="n">
        <v>285</v>
      </c>
      <c r="C28" s="49" t="s">
        <v>97</v>
      </c>
      <c r="D28" s="49" t="s">
        <v>102</v>
      </c>
      <c r="E28" s="50" t="n">
        <v>0</v>
      </c>
      <c r="F28" s="50" t="n">
        <v>3</v>
      </c>
      <c r="G28" s="50" t="n">
        <v>0</v>
      </c>
      <c r="H28" s="50" t="n">
        <v>0</v>
      </c>
      <c r="I28" s="50" t="n">
        <v>0</v>
      </c>
      <c r="J28" s="50" t="n">
        <v>0</v>
      </c>
    </row>
    <row r="29" customFormat="false" ht="15" hidden="false" customHeight="false" outlineLevel="0" collapsed="false">
      <c r="A29" s="47" t="s">
        <v>110</v>
      </c>
      <c r="B29" s="47" t="n">
        <v>285</v>
      </c>
      <c r="C29" s="47" t="s">
        <v>97</v>
      </c>
      <c r="D29" s="47" t="s">
        <v>103</v>
      </c>
      <c r="E29" s="48" t="n">
        <v>0</v>
      </c>
      <c r="F29" s="48" t="n">
        <v>4</v>
      </c>
      <c r="G29" s="48" t="n">
        <v>0</v>
      </c>
      <c r="H29" s="48" t="n">
        <v>0</v>
      </c>
      <c r="I29" s="48" t="n">
        <v>0</v>
      </c>
      <c r="J29" s="48" t="n">
        <v>0</v>
      </c>
    </row>
    <row r="30" customFormat="false" ht="15" hidden="false" customHeight="false" outlineLevel="0" collapsed="false">
      <c r="A30" s="49" t="s">
        <v>110</v>
      </c>
      <c r="B30" s="49" t="n">
        <v>321</v>
      </c>
      <c r="C30" s="49" t="s">
        <v>104</v>
      </c>
      <c r="D30" s="49" t="s">
        <v>105</v>
      </c>
      <c r="E30" s="50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</row>
    <row r="31" customFormat="false" ht="15" hidden="false" customHeight="false" outlineLevel="0" collapsed="false">
      <c r="A31" s="51" t="s">
        <v>110</v>
      </c>
      <c r="B31" s="51" t="n">
        <v>7</v>
      </c>
      <c r="C31" s="51" t="s">
        <v>100</v>
      </c>
      <c r="D31" s="51" t="s">
        <v>106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52" t="n">
        <v>0</v>
      </c>
    </row>
    <row r="32" customFormat="false" ht="15" hidden="false" customHeight="false" outlineLevel="0" collapsed="false">
      <c r="A32" s="49" t="s">
        <v>110</v>
      </c>
      <c r="B32" s="49" t="n">
        <v>813</v>
      </c>
      <c r="C32" s="49" t="s">
        <v>97</v>
      </c>
      <c r="D32" s="49" t="s">
        <v>107</v>
      </c>
      <c r="E32" s="50" t="n">
        <v>0</v>
      </c>
      <c r="F32" s="50" t="n">
        <v>0</v>
      </c>
      <c r="G32" s="50" t="n">
        <v>0</v>
      </c>
      <c r="H32" s="50" t="n">
        <v>0</v>
      </c>
      <c r="I32" s="50" t="n">
        <v>0</v>
      </c>
      <c r="J32" s="50" t="n">
        <v>0</v>
      </c>
    </row>
    <row r="33" customFormat="false" ht="15" hidden="false" customHeight="false" outlineLevel="0" collapsed="false">
      <c r="A33" s="47" t="s">
        <v>110</v>
      </c>
      <c r="B33" s="47" t="n">
        <v>98</v>
      </c>
      <c r="C33" s="47" t="s">
        <v>97</v>
      </c>
      <c r="D33" s="47" t="s">
        <v>108</v>
      </c>
      <c r="E33" s="48" t="n">
        <v>0</v>
      </c>
      <c r="F33" s="48" t="n">
        <v>3</v>
      </c>
      <c r="G33" s="48" t="n">
        <v>0</v>
      </c>
      <c r="H33" s="48" t="n">
        <v>0</v>
      </c>
      <c r="I33" s="48" t="n">
        <v>0</v>
      </c>
      <c r="J33" s="48" t="n">
        <v>0</v>
      </c>
    </row>
    <row r="34" customFormat="false" ht="15" hidden="false" customHeight="false" outlineLevel="0" collapsed="false">
      <c r="A34" s="49" t="s">
        <v>111</v>
      </c>
      <c r="B34" s="49"/>
      <c r="C34" s="49" t="s">
        <v>97</v>
      </c>
      <c r="D34" s="49" t="s">
        <v>98</v>
      </c>
      <c r="E34" s="50" t="n">
        <v>0</v>
      </c>
      <c r="F34" s="50" t="n">
        <v>0</v>
      </c>
      <c r="G34" s="50" t="n">
        <v>0</v>
      </c>
      <c r="H34" s="50" t="n">
        <v>0</v>
      </c>
      <c r="I34" s="50" t="n">
        <v>0</v>
      </c>
      <c r="J34" s="50" t="n">
        <v>0</v>
      </c>
    </row>
    <row r="35" customFormat="false" ht="15" hidden="false" customHeight="false" outlineLevel="0" collapsed="false">
      <c r="A35" s="47" t="s">
        <v>111</v>
      </c>
      <c r="B35" s="47" t="n">
        <v>16</v>
      </c>
      <c r="C35" s="47" t="s">
        <v>97</v>
      </c>
      <c r="D35" s="47" t="s">
        <v>99</v>
      </c>
      <c r="E35" s="48" t="n">
        <v>0</v>
      </c>
      <c r="F35" s="48" t="n">
        <v>0</v>
      </c>
      <c r="G35" s="48" t="n">
        <v>0</v>
      </c>
      <c r="H35" s="48" t="n">
        <v>0</v>
      </c>
      <c r="I35" s="48" t="n">
        <v>0</v>
      </c>
      <c r="J35" s="48" t="n">
        <v>0</v>
      </c>
    </row>
    <row r="36" customFormat="false" ht="15" hidden="false" customHeight="false" outlineLevel="0" collapsed="false">
      <c r="A36" s="49" t="s">
        <v>111</v>
      </c>
      <c r="B36" s="49" t="n">
        <v>245</v>
      </c>
      <c r="C36" s="49" t="s">
        <v>100</v>
      </c>
      <c r="D36" s="49" t="s">
        <v>101</v>
      </c>
      <c r="E36" s="50" t="n">
        <v>0</v>
      </c>
      <c r="F36" s="50" t="n">
        <v>15</v>
      </c>
      <c r="G36" s="50" t="n">
        <v>0</v>
      </c>
      <c r="H36" s="50" t="n">
        <v>0</v>
      </c>
      <c r="I36" s="50" t="n">
        <v>0</v>
      </c>
      <c r="J36" s="50" t="n">
        <v>0</v>
      </c>
    </row>
    <row r="37" customFormat="false" ht="15" hidden="false" customHeight="false" outlineLevel="0" collapsed="false">
      <c r="A37" s="47" t="s">
        <v>111</v>
      </c>
      <c r="B37" s="47" t="n">
        <v>285</v>
      </c>
      <c r="C37" s="47" t="s">
        <v>97</v>
      </c>
      <c r="D37" s="47" t="s">
        <v>102</v>
      </c>
      <c r="E37" s="48" t="n">
        <v>0</v>
      </c>
      <c r="F37" s="48" t="n">
        <v>2</v>
      </c>
      <c r="G37" s="48" t="n">
        <v>0</v>
      </c>
      <c r="H37" s="48" t="n">
        <v>0</v>
      </c>
      <c r="I37" s="48" t="n">
        <v>0</v>
      </c>
      <c r="J37" s="48" t="n">
        <v>0</v>
      </c>
    </row>
    <row r="38" customFormat="false" ht="15" hidden="false" customHeight="false" outlineLevel="0" collapsed="false">
      <c r="A38" s="49" t="s">
        <v>111</v>
      </c>
      <c r="B38" s="49" t="n">
        <v>285</v>
      </c>
      <c r="C38" s="49" t="s">
        <v>97</v>
      </c>
      <c r="D38" s="49" t="s">
        <v>103</v>
      </c>
      <c r="E38" s="50" t="n">
        <v>0</v>
      </c>
      <c r="F38" s="50" t="n">
        <v>2</v>
      </c>
      <c r="G38" s="50" t="n">
        <v>0</v>
      </c>
      <c r="H38" s="50" t="n">
        <v>0</v>
      </c>
      <c r="I38" s="50" t="n">
        <v>0</v>
      </c>
      <c r="J38" s="50" t="n">
        <v>0</v>
      </c>
    </row>
    <row r="39" customFormat="false" ht="15" hidden="false" customHeight="false" outlineLevel="0" collapsed="false">
      <c r="A39" s="53" t="s">
        <v>111</v>
      </c>
      <c r="B39" s="53" t="n">
        <v>321</v>
      </c>
      <c r="C39" s="53" t="s">
        <v>104</v>
      </c>
      <c r="D39" s="53" t="s">
        <v>105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</row>
    <row r="40" customFormat="false" ht="15" hidden="false" customHeight="false" outlineLevel="0" collapsed="false">
      <c r="A40" s="49" t="s">
        <v>111</v>
      </c>
      <c r="B40" s="49" t="n">
        <v>7</v>
      </c>
      <c r="C40" s="49" t="s">
        <v>100</v>
      </c>
      <c r="D40" s="49" t="s">
        <v>106</v>
      </c>
      <c r="E40" s="50" t="n">
        <v>0</v>
      </c>
      <c r="F40" s="50" t="n">
        <v>2</v>
      </c>
      <c r="G40" s="50" t="n">
        <v>0</v>
      </c>
      <c r="H40" s="50" t="n">
        <v>0</v>
      </c>
      <c r="I40" s="50" t="n">
        <v>0</v>
      </c>
      <c r="J40" s="50" t="n">
        <v>0</v>
      </c>
    </row>
    <row r="41" customFormat="false" ht="15" hidden="false" customHeight="false" outlineLevel="0" collapsed="false">
      <c r="A41" s="47" t="s">
        <v>111</v>
      </c>
      <c r="B41" s="47" t="n">
        <v>813</v>
      </c>
      <c r="C41" s="47" t="s">
        <v>97</v>
      </c>
      <c r="D41" s="47" t="s">
        <v>107</v>
      </c>
      <c r="E41" s="48" t="n">
        <v>0</v>
      </c>
      <c r="F41" s="48" t="n">
        <v>1</v>
      </c>
      <c r="G41" s="48" t="n">
        <v>0</v>
      </c>
      <c r="H41" s="48" t="n">
        <v>0</v>
      </c>
      <c r="I41" s="48" t="n">
        <v>0</v>
      </c>
      <c r="J41" s="48" t="n">
        <v>0</v>
      </c>
    </row>
    <row r="42" customFormat="false" ht="15" hidden="false" customHeight="false" outlineLevel="0" collapsed="false">
      <c r="A42" s="49" t="s">
        <v>111</v>
      </c>
      <c r="B42" s="49" t="n">
        <v>98</v>
      </c>
      <c r="C42" s="49" t="s">
        <v>97</v>
      </c>
      <c r="D42" s="49" t="s">
        <v>108</v>
      </c>
      <c r="E42" s="50" t="n">
        <v>0</v>
      </c>
      <c r="F42" s="50" t="n">
        <v>2</v>
      </c>
      <c r="G42" s="50" t="n">
        <v>0</v>
      </c>
      <c r="H42" s="50" t="n">
        <v>0</v>
      </c>
      <c r="I42" s="50" t="n">
        <v>0</v>
      </c>
      <c r="J42" s="50" t="n">
        <v>0</v>
      </c>
    </row>
    <row r="43" customFormat="false" ht="15" hidden="false" customHeight="false" outlineLevel="0" collapsed="false">
      <c r="A43" s="47" t="s">
        <v>112</v>
      </c>
      <c r="B43" s="47"/>
      <c r="C43" s="47" t="s">
        <v>97</v>
      </c>
      <c r="D43" s="47" t="s">
        <v>98</v>
      </c>
      <c r="E43" s="48" t="n">
        <v>0</v>
      </c>
      <c r="F43" s="48" t="n">
        <v>0</v>
      </c>
      <c r="G43" s="48" t="n">
        <v>0</v>
      </c>
      <c r="H43" s="48" t="n">
        <v>0</v>
      </c>
      <c r="I43" s="48" t="n">
        <v>0</v>
      </c>
      <c r="J43" s="48" t="n">
        <v>0</v>
      </c>
    </row>
    <row r="44" customFormat="false" ht="15" hidden="false" customHeight="false" outlineLevel="0" collapsed="false">
      <c r="A44" s="49" t="s">
        <v>112</v>
      </c>
      <c r="B44" s="49" t="n">
        <v>16</v>
      </c>
      <c r="C44" s="49" t="s">
        <v>97</v>
      </c>
      <c r="D44" s="49" t="s">
        <v>99</v>
      </c>
      <c r="E44" s="50" t="n">
        <v>0</v>
      </c>
      <c r="F44" s="50" t="n">
        <v>0</v>
      </c>
      <c r="G44" s="50" t="n">
        <v>0</v>
      </c>
      <c r="H44" s="50" t="n">
        <v>0</v>
      </c>
      <c r="I44" s="50" t="n">
        <v>0</v>
      </c>
      <c r="J44" s="50" t="n">
        <v>0</v>
      </c>
    </row>
    <row r="45" customFormat="false" ht="15" hidden="false" customHeight="false" outlineLevel="0" collapsed="false">
      <c r="A45" s="51" t="s">
        <v>112</v>
      </c>
      <c r="B45" s="51" t="n">
        <v>245</v>
      </c>
      <c r="C45" s="51" t="s">
        <v>100</v>
      </c>
      <c r="D45" s="51" t="s">
        <v>101</v>
      </c>
      <c r="E45" s="52" t="n">
        <v>0</v>
      </c>
      <c r="F45" s="52" t="n">
        <v>12</v>
      </c>
      <c r="G45" s="52" t="n">
        <v>0</v>
      </c>
      <c r="H45" s="52" t="n">
        <v>0</v>
      </c>
      <c r="I45" s="52" t="n">
        <v>0</v>
      </c>
      <c r="J45" s="52" t="n">
        <v>0</v>
      </c>
    </row>
    <row r="46" customFormat="false" ht="15" hidden="false" customHeight="false" outlineLevel="0" collapsed="false">
      <c r="A46" s="49" t="s">
        <v>112</v>
      </c>
      <c r="B46" s="49" t="n">
        <v>285</v>
      </c>
      <c r="C46" s="49" t="s">
        <v>97</v>
      </c>
      <c r="D46" s="49" t="s">
        <v>102</v>
      </c>
      <c r="E46" s="50" t="n">
        <v>0</v>
      </c>
      <c r="F46" s="50" t="n">
        <v>2</v>
      </c>
      <c r="G46" s="50" t="n">
        <v>0</v>
      </c>
      <c r="H46" s="50" t="n">
        <v>0</v>
      </c>
      <c r="I46" s="50" t="n">
        <v>0</v>
      </c>
      <c r="J46" s="50" t="n">
        <v>0</v>
      </c>
    </row>
    <row r="47" customFormat="false" ht="15" hidden="false" customHeight="false" outlineLevel="0" collapsed="false">
      <c r="A47" s="47" t="s">
        <v>112</v>
      </c>
      <c r="B47" s="47" t="n">
        <v>285</v>
      </c>
      <c r="C47" s="47" t="s">
        <v>97</v>
      </c>
      <c r="D47" s="47" t="s">
        <v>103</v>
      </c>
      <c r="E47" s="48" t="n">
        <v>0</v>
      </c>
      <c r="F47" s="48" t="n">
        <v>3</v>
      </c>
      <c r="G47" s="48" t="n">
        <v>0</v>
      </c>
      <c r="H47" s="48" t="n">
        <v>0</v>
      </c>
      <c r="I47" s="48" t="n">
        <v>0</v>
      </c>
      <c r="J47" s="48" t="n">
        <v>0</v>
      </c>
    </row>
    <row r="48" customFormat="false" ht="15" hidden="false" customHeight="false" outlineLevel="0" collapsed="false">
      <c r="A48" s="49" t="s">
        <v>112</v>
      </c>
      <c r="B48" s="49" t="n">
        <v>321</v>
      </c>
      <c r="C48" s="49" t="s">
        <v>104</v>
      </c>
      <c r="D48" s="49" t="s">
        <v>105</v>
      </c>
      <c r="E48" s="50" t="n">
        <v>0</v>
      </c>
      <c r="F48" s="50" t="n">
        <v>0</v>
      </c>
      <c r="G48" s="50" t="n">
        <v>0</v>
      </c>
      <c r="H48" s="50" t="n">
        <v>0</v>
      </c>
      <c r="I48" s="50" t="n">
        <v>0</v>
      </c>
      <c r="J48" s="50" t="n">
        <v>0</v>
      </c>
    </row>
    <row r="49" customFormat="false" ht="15" hidden="false" customHeight="false" outlineLevel="0" collapsed="false">
      <c r="A49" s="51" t="s">
        <v>112</v>
      </c>
      <c r="B49" s="51" t="n">
        <v>7</v>
      </c>
      <c r="C49" s="51" t="s">
        <v>100</v>
      </c>
      <c r="D49" s="51" t="s">
        <v>106</v>
      </c>
      <c r="E49" s="52" t="n">
        <v>0</v>
      </c>
      <c r="F49" s="52" t="n">
        <v>12</v>
      </c>
      <c r="G49" s="52" t="n">
        <v>0</v>
      </c>
      <c r="H49" s="52" t="n">
        <v>0</v>
      </c>
      <c r="I49" s="52" t="n">
        <v>0</v>
      </c>
      <c r="J49" s="52" t="n">
        <v>0</v>
      </c>
    </row>
    <row r="50" customFormat="false" ht="15" hidden="false" customHeight="false" outlineLevel="0" collapsed="false">
      <c r="A50" s="49" t="s">
        <v>112</v>
      </c>
      <c r="B50" s="49" t="n">
        <v>813</v>
      </c>
      <c r="C50" s="49" t="s">
        <v>97</v>
      </c>
      <c r="D50" s="49" t="s">
        <v>107</v>
      </c>
      <c r="E50" s="50" t="n">
        <v>0</v>
      </c>
      <c r="F50" s="50" t="n">
        <v>0</v>
      </c>
      <c r="G50" s="50" t="n">
        <v>0</v>
      </c>
      <c r="H50" s="50" t="n">
        <v>0</v>
      </c>
      <c r="I50" s="50" t="n">
        <v>0</v>
      </c>
      <c r="J50" s="50" t="n">
        <v>0</v>
      </c>
    </row>
    <row r="51" customFormat="false" ht="15" hidden="false" customHeight="false" outlineLevel="0" collapsed="false">
      <c r="A51" s="47" t="s">
        <v>112</v>
      </c>
      <c r="B51" s="47" t="n">
        <v>98</v>
      </c>
      <c r="C51" s="47" t="s">
        <v>97</v>
      </c>
      <c r="D51" s="47" t="s">
        <v>108</v>
      </c>
      <c r="E51" s="48" t="n">
        <v>0</v>
      </c>
      <c r="F51" s="48" t="n">
        <v>3</v>
      </c>
      <c r="G51" s="48" t="n">
        <v>0</v>
      </c>
      <c r="H51" s="48" t="n">
        <v>0</v>
      </c>
      <c r="I51" s="48" t="n">
        <v>0</v>
      </c>
      <c r="J51" s="48" t="n">
        <v>0</v>
      </c>
    </row>
    <row r="52" customFormat="false" ht="15" hidden="false" customHeight="false" outlineLevel="0" collapsed="false">
      <c r="A52" s="49" t="s">
        <v>113</v>
      </c>
      <c r="B52" s="49" t="n">
        <v>16</v>
      </c>
      <c r="C52" s="49" t="s">
        <v>97</v>
      </c>
      <c r="D52" s="49" t="s">
        <v>99</v>
      </c>
      <c r="E52" s="50" t="n">
        <v>0</v>
      </c>
      <c r="F52" s="50" t="n">
        <v>2</v>
      </c>
      <c r="G52" s="50" t="n">
        <v>0</v>
      </c>
      <c r="H52" s="50" t="n">
        <v>0</v>
      </c>
      <c r="I52" s="50" t="n">
        <v>0</v>
      </c>
      <c r="J52" s="50" t="n">
        <v>0</v>
      </c>
    </row>
    <row r="53" customFormat="false" ht="15" hidden="false" customHeight="false" outlineLevel="0" collapsed="false">
      <c r="A53" s="51" t="s">
        <v>113</v>
      </c>
      <c r="B53" s="51" t="n">
        <v>245</v>
      </c>
      <c r="C53" s="51" t="s">
        <v>100</v>
      </c>
      <c r="D53" s="51" t="s">
        <v>101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52" t="n">
        <v>0</v>
      </c>
    </row>
    <row r="54" customFormat="false" ht="15" hidden="false" customHeight="false" outlineLevel="0" collapsed="false">
      <c r="A54" s="49" t="s">
        <v>113</v>
      </c>
      <c r="B54" s="49" t="n">
        <v>285</v>
      </c>
      <c r="C54" s="49" t="s">
        <v>97</v>
      </c>
      <c r="D54" s="49" t="s">
        <v>102</v>
      </c>
      <c r="E54" s="50" t="n">
        <v>0</v>
      </c>
      <c r="F54" s="50" t="n">
        <v>4</v>
      </c>
      <c r="G54" s="50" t="n">
        <v>0</v>
      </c>
      <c r="H54" s="50" t="n">
        <v>0</v>
      </c>
      <c r="I54" s="50" t="n">
        <v>0</v>
      </c>
      <c r="J54" s="50" t="n">
        <v>0</v>
      </c>
    </row>
    <row r="55" customFormat="false" ht="15" hidden="false" customHeight="false" outlineLevel="0" collapsed="false">
      <c r="A55" s="47" t="s">
        <v>113</v>
      </c>
      <c r="B55" s="47" t="n">
        <v>285</v>
      </c>
      <c r="C55" s="47" t="s">
        <v>97</v>
      </c>
      <c r="D55" s="47" t="s">
        <v>103</v>
      </c>
      <c r="E55" s="48" t="n">
        <v>0</v>
      </c>
      <c r="F55" s="48" t="n">
        <v>6</v>
      </c>
      <c r="G55" s="48" t="n">
        <v>0</v>
      </c>
      <c r="H55" s="48" t="n">
        <v>0</v>
      </c>
      <c r="I55" s="48" t="n">
        <v>0</v>
      </c>
      <c r="J55" s="48" t="n">
        <v>0</v>
      </c>
    </row>
    <row r="56" customFormat="false" ht="15" hidden="false" customHeight="false" outlineLevel="0" collapsed="false">
      <c r="A56" s="49" t="s">
        <v>113</v>
      </c>
      <c r="B56" s="49" t="n">
        <v>321</v>
      </c>
      <c r="C56" s="49" t="s">
        <v>104</v>
      </c>
      <c r="D56" s="49" t="s">
        <v>105</v>
      </c>
      <c r="E56" s="50" t="n">
        <v>0</v>
      </c>
      <c r="F56" s="50" t="n">
        <v>0</v>
      </c>
      <c r="G56" s="50" t="n">
        <v>0</v>
      </c>
      <c r="H56" s="50" t="n">
        <v>0</v>
      </c>
      <c r="I56" s="50" t="n">
        <v>0</v>
      </c>
      <c r="J56" s="50" t="n">
        <v>0</v>
      </c>
    </row>
    <row r="57" customFormat="false" ht="15" hidden="false" customHeight="false" outlineLevel="0" collapsed="false">
      <c r="A57" s="51" t="s">
        <v>113</v>
      </c>
      <c r="B57" s="51" t="n">
        <v>7</v>
      </c>
      <c r="C57" s="51" t="s">
        <v>100</v>
      </c>
      <c r="D57" s="51" t="s">
        <v>106</v>
      </c>
      <c r="E57" s="52" t="n">
        <v>0</v>
      </c>
      <c r="F57" s="52" t="n">
        <v>2</v>
      </c>
      <c r="G57" s="52" t="n">
        <v>0</v>
      </c>
      <c r="H57" s="52" t="n">
        <v>0</v>
      </c>
      <c r="I57" s="52" t="n">
        <v>0</v>
      </c>
      <c r="J57" s="52" t="n">
        <v>0</v>
      </c>
    </row>
    <row r="58" customFormat="false" ht="15" hidden="false" customHeight="false" outlineLevel="0" collapsed="false">
      <c r="A58" s="49" t="s">
        <v>113</v>
      </c>
      <c r="B58" s="49" t="n">
        <v>813</v>
      </c>
      <c r="C58" s="49" t="s">
        <v>97</v>
      </c>
      <c r="D58" s="49" t="s">
        <v>107</v>
      </c>
      <c r="E58" s="50" t="n">
        <v>0</v>
      </c>
      <c r="F58" s="50" t="n">
        <v>4</v>
      </c>
      <c r="G58" s="50" t="n">
        <v>0</v>
      </c>
      <c r="H58" s="50" t="n">
        <v>0</v>
      </c>
      <c r="I58" s="50" t="n">
        <v>0</v>
      </c>
      <c r="J58" s="50" t="n">
        <v>0</v>
      </c>
    </row>
    <row r="59" customFormat="false" ht="15" hidden="false" customHeight="false" outlineLevel="0" collapsed="false">
      <c r="A59" s="47" t="s">
        <v>113</v>
      </c>
      <c r="B59" s="47" t="n">
        <v>9</v>
      </c>
      <c r="C59" s="47" t="s">
        <v>97</v>
      </c>
      <c r="D59" s="47" t="s">
        <v>98</v>
      </c>
      <c r="E59" s="48" t="n">
        <v>0</v>
      </c>
      <c r="F59" s="48" t="n">
        <v>4</v>
      </c>
      <c r="G59" s="48" t="n">
        <v>0</v>
      </c>
      <c r="H59" s="48" t="n">
        <v>0</v>
      </c>
      <c r="I59" s="48" t="n">
        <v>0</v>
      </c>
      <c r="J59" s="48" t="n">
        <v>0</v>
      </c>
    </row>
    <row r="60" customFormat="false" ht="15" hidden="false" customHeight="false" outlineLevel="0" collapsed="false">
      <c r="A60" s="49" t="s">
        <v>113</v>
      </c>
      <c r="B60" s="49" t="n">
        <v>98</v>
      </c>
      <c r="C60" s="49" t="s">
        <v>97</v>
      </c>
      <c r="D60" s="49" t="s">
        <v>108</v>
      </c>
      <c r="E60" s="50" t="n">
        <v>0</v>
      </c>
      <c r="F60" s="50" t="n">
        <v>3</v>
      </c>
      <c r="G60" s="50" t="n">
        <v>0</v>
      </c>
      <c r="H60" s="50" t="n">
        <v>0</v>
      </c>
      <c r="I60" s="50" t="n">
        <v>0</v>
      </c>
      <c r="J60" s="50" t="n">
        <v>0</v>
      </c>
    </row>
    <row r="61" customFormat="false" ht="15" hidden="false" customHeight="false" outlineLevel="0" collapsed="false">
      <c r="A61" s="47" t="s">
        <v>114</v>
      </c>
      <c r="B61" s="47" t="n">
        <v>16</v>
      </c>
      <c r="C61" s="47" t="s">
        <v>97</v>
      </c>
      <c r="D61" s="47" t="s">
        <v>99</v>
      </c>
      <c r="E61" s="48" t="n">
        <v>0</v>
      </c>
      <c r="F61" s="48" t="n">
        <v>4</v>
      </c>
      <c r="G61" s="48" t="n">
        <v>0</v>
      </c>
      <c r="H61" s="48" t="n">
        <v>0</v>
      </c>
      <c r="I61" s="48" t="n">
        <v>0</v>
      </c>
      <c r="J61" s="48" t="n">
        <v>0</v>
      </c>
    </row>
    <row r="62" customFormat="false" ht="15" hidden="false" customHeight="false" outlineLevel="0" collapsed="false">
      <c r="A62" s="49" t="s">
        <v>114</v>
      </c>
      <c r="B62" s="49" t="n">
        <v>245</v>
      </c>
      <c r="C62" s="49" t="s">
        <v>100</v>
      </c>
      <c r="D62" s="49" t="s">
        <v>101</v>
      </c>
      <c r="E62" s="50" t="n">
        <v>0</v>
      </c>
      <c r="F62" s="50" t="n">
        <v>5</v>
      </c>
      <c r="G62" s="50" t="n">
        <v>0</v>
      </c>
      <c r="H62" s="50" t="n">
        <v>0</v>
      </c>
      <c r="I62" s="50" t="n">
        <v>0</v>
      </c>
      <c r="J62" s="50" t="n">
        <v>0</v>
      </c>
    </row>
    <row r="63" customFormat="false" ht="15" hidden="false" customHeight="false" outlineLevel="0" collapsed="false">
      <c r="A63" s="47" t="s">
        <v>114</v>
      </c>
      <c r="B63" s="47" t="n">
        <v>285</v>
      </c>
      <c r="C63" s="47" t="s">
        <v>97</v>
      </c>
      <c r="D63" s="47" t="s">
        <v>102</v>
      </c>
      <c r="E63" s="48" t="n">
        <v>0</v>
      </c>
      <c r="F63" s="48" t="n">
        <v>3</v>
      </c>
      <c r="G63" s="48" t="n">
        <v>0</v>
      </c>
      <c r="H63" s="48" t="n">
        <v>0</v>
      </c>
      <c r="I63" s="48" t="n">
        <v>0</v>
      </c>
      <c r="J63" s="48" t="n">
        <v>0</v>
      </c>
    </row>
    <row r="64" customFormat="false" ht="15" hidden="false" customHeight="false" outlineLevel="0" collapsed="false">
      <c r="A64" s="49" t="s">
        <v>114</v>
      </c>
      <c r="B64" s="49" t="n">
        <v>285</v>
      </c>
      <c r="C64" s="49" t="s">
        <v>97</v>
      </c>
      <c r="D64" s="49" t="s">
        <v>103</v>
      </c>
      <c r="E64" s="50" t="n">
        <v>0</v>
      </c>
      <c r="F64" s="50" t="n">
        <v>9</v>
      </c>
      <c r="G64" s="50" t="n">
        <v>0</v>
      </c>
      <c r="H64" s="50" t="n">
        <v>0</v>
      </c>
      <c r="I64" s="50" t="n">
        <v>0</v>
      </c>
      <c r="J64" s="50" t="n">
        <v>0</v>
      </c>
    </row>
    <row r="65" customFormat="false" ht="15" hidden="false" customHeight="false" outlineLevel="0" collapsed="false">
      <c r="A65" s="53" t="s">
        <v>114</v>
      </c>
      <c r="B65" s="53" t="n">
        <v>321</v>
      </c>
      <c r="C65" s="53" t="s">
        <v>104</v>
      </c>
      <c r="D65" s="53" t="s">
        <v>105</v>
      </c>
      <c r="E65" s="54" t="n">
        <v>0</v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</row>
    <row r="66" customFormat="false" ht="15" hidden="false" customHeight="false" outlineLevel="0" collapsed="false">
      <c r="A66" s="49" t="s">
        <v>114</v>
      </c>
      <c r="B66" s="49" t="n">
        <v>7</v>
      </c>
      <c r="C66" s="49" t="s">
        <v>100</v>
      </c>
      <c r="D66" s="49" t="s">
        <v>106</v>
      </c>
      <c r="E66" s="50" t="n">
        <v>0</v>
      </c>
      <c r="F66" s="50" t="n">
        <v>4</v>
      </c>
      <c r="G66" s="50" t="n">
        <v>0</v>
      </c>
      <c r="H66" s="50" t="n">
        <v>0</v>
      </c>
      <c r="I66" s="50" t="n">
        <v>0</v>
      </c>
      <c r="J66" s="50" t="n">
        <v>0</v>
      </c>
    </row>
    <row r="67" customFormat="false" ht="15" hidden="false" customHeight="false" outlineLevel="0" collapsed="false">
      <c r="A67" s="47" t="s">
        <v>114</v>
      </c>
      <c r="B67" s="47" t="n">
        <v>813</v>
      </c>
      <c r="C67" s="47" t="s">
        <v>97</v>
      </c>
      <c r="D67" s="47" t="s">
        <v>107</v>
      </c>
      <c r="E67" s="48" t="n">
        <v>0</v>
      </c>
      <c r="F67" s="48" t="n">
        <v>2</v>
      </c>
      <c r="G67" s="48" t="n">
        <v>0</v>
      </c>
      <c r="H67" s="48" t="n">
        <v>0</v>
      </c>
      <c r="I67" s="48" t="n">
        <v>0</v>
      </c>
      <c r="J67" s="48" t="n">
        <v>0</v>
      </c>
    </row>
    <row r="68" customFormat="false" ht="15" hidden="false" customHeight="false" outlineLevel="0" collapsed="false">
      <c r="A68" s="49" t="s">
        <v>114</v>
      </c>
      <c r="B68" s="49" t="n">
        <v>9</v>
      </c>
      <c r="C68" s="49" t="s">
        <v>97</v>
      </c>
      <c r="D68" s="49" t="s">
        <v>98</v>
      </c>
      <c r="E68" s="50" t="n">
        <v>0</v>
      </c>
      <c r="F68" s="50" t="n">
        <v>2</v>
      </c>
      <c r="G68" s="50" t="n">
        <v>0</v>
      </c>
      <c r="H68" s="50" t="n">
        <v>0</v>
      </c>
      <c r="I68" s="50" t="n">
        <v>0</v>
      </c>
      <c r="J68" s="50" t="n">
        <v>0</v>
      </c>
    </row>
    <row r="69" customFormat="false" ht="15" hidden="false" customHeight="false" outlineLevel="0" collapsed="false">
      <c r="A69" s="47" t="s">
        <v>114</v>
      </c>
      <c r="B69" s="47" t="n">
        <v>98</v>
      </c>
      <c r="C69" s="47" t="s">
        <v>97</v>
      </c>
      <c r="D69" s="47" t="s">
        <v>108</v>
      </c>
      <c r="E69" s="48" t="n">
        <v>0</v>
      </c>
      <c r="F69" s="48" t="n">
        <v>0</v>
      </c>
      <c r="G69" s="48" t="n">
        <v>0</v>
      </c>
      <c r="H69" s="48" t="n">
        <v>0</v>
      </c>
      <c r="I69" s="48" t="n">
        <v>0</v>
      </c>
      <c r="J69" s="48" t="n">
        <v>0</v>
      </c>
    </row>
    <row r="70" customFormat="false" ht="15" hidden="false" customHeight="false" outlineLevel="0" collapsed="false">
      <c r="A70" s="49" t="s">
        <v>115</v>
      </c>
      <c r="B70" s="49"/>
      <c r="C70" s="49" t="s">
        <v>100</v>
      </c>
      <c r="D70" s="49" t="s">
        <v>116</v>
      </c>
      <c r="E70" s="50" t="n">
        <v>0</v>
      </c>
      <c r="F70" s="50" t="n">
        <v>0</v>
      </c>
      <c r="G70" s="50" t="n">
        <v>0</v>
      </c>
      <c r="H70" s="50" t="n">
        <v>0</v>
      </c>
      <c r="I70" s="50" t="n">
        <v>0</v>
      </c>
      <c r="J70" s="50" t="n">
        <v>0</v>
      </c>
    </row>
    <row r="71" customFormat="false" ht="15" hidden="false" customHeight="false" outlineLevel="0" collapsed="false">
      <c r="A71" s="47" t="s">
        <v>115</v>
      </c>
      <c r="B71" s="47" t="n">
        <v>16</v>
      </c>
      <c r="C71" s="47" t="s">
        <v>97</v>
      </c>
      <c r="D71" s="47" t="s">
        <v>99</v>
      </c>
      <c r="E71" s="48" t="n">
        <v>0</v>
      </c>
      <c r="F71" s="48" t="n">
        <v>0</v>
      </c>
      <c r="G71" s="48" t="n">
        <v>0</v>
      </c>
      <c r="H71" s="48" t="n">
        <v>0</v>
      </c>
      <c r="I71" s="48" t="n">
        <v>0</v>
      </c>
      <c r="J71" s="48" t="n">
        <v>0</v>
      </c>
    </row>
    <row r="72" customFormat="false" ht="15" hidden="false" customHeight="false" outlineLevel="0" collapsed="false">
      <c r="A72" s="49" t="s">
        <v>115</v>
      </c>
      <c r="B72" s="49" t="n">
        <v>245</v>
      </c>
      <c r="C72" s="49" t="s">
        <v>100</v>
      </c>
      <c r="D72" s="49" t="s">
        <v>101</v>
      </c>
      <c r="E72" s="50" t="n">
        <v>0</v>
      </c>
      <c r="F72" s="50" t="n">
        <v>0</v>
      </c>
      <c r="G72" s="50" t="n">
        <v>0</v>
      </c>
      <c r="H72" s="50" t="n">
        <v>0</v>
      </c>
      <c r="I72" s="50" t="n">
        <v>0</v>
      </c>
      <c r="J72" s="50" t="n">
        <v>0</v>
      </c>
    </row>
    <row r="73" customFormat="false" ht="15" hidden="false" customHeight="false" outlineLevel="0" collapsed="false">
      <c r="A73" s="47" t="s">
        <v>115</v>
      </c>
      <c r="B73" s="47" t="n">
        <v>285</v>
      </c>
      <c r="C73" s="47" t="s">
        <v>97</v>
      </c>
      <c r="D73" s="47" t="s">
        <v>102</v>
      </c>
      <c r="E73" s="48" t="n">
        <v>0</v>
      </c>
      <c r="F73" s="48" t="n">
        <v>9</v>
      </c>
      <c r="G73" s="48" t="n">
        <v>0</v>
      </c>
      <c r="H73" s="48" t="n">
        <v>0</v>
      </c>
      <c r="I73" s="48" t="n">
        <v>0</v>
      </c>
      <c r="J73" s="48" t="n">
        <v>0</v>
      </c>
    </row>
    <row r="74" customFormat="false" ht="15" hidden="false" customHeight="false" outlineLevel="0" collapsed="false">
      <c r="A74" s="49" t="s">
        <v>115</v>
      </c>
      <c r="B74" s="49" t="n">
        <v>285</v>
      </c>
      <c r="C74" s="49" t="s">
        <v>97</v>
      </c>
      <c r="D74" s="49" t="s">
        <v>103</v>
      </c>
      <c r="E74" s="50" t="n">
        <v>0</v>
      </c>
      <c r="F74" s="50" t="n">
        <v>12</v>
      </c>
      <c r="G74" s="50" t="n">
        <v>0</v>
      </c>
      <c r="H74" s="50" t="n">
        <v>0</v>
      </c>
      <c r="I74" s="50" t="n">
        <v>0</v>
      </c>
      <c r="J74" s="50" t="n">
        <v>0</v>
      </c>
    </row>
    <row r="75" customFormat="false" ht="15" hidden="false" customHeight="false" outlineLevel="0" collapsed="false">
      <c r="A75" s="53" t="s">
        <v>115</v>
      </c>
      <c r="B75" s="53" t="n">
        <v>321</v>
      </c>
      <c r="C75" s="53" t="s">
        <v>104</v>
      </c>
      <c r="D75" s="53" t="s">
        <v>105</v>
      </c>
      <c r="E75" s="54" t="n">
        <v>0</v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</row>
    <row r="76" customFormat="false" ht="15" hidden="false" customHeight="false" outlineLevel="0" collapsed="false">
      <c r="A76" s="49" t="s">
        <v>115</v>
      </c>
      <c r="B76" s="49" t="n">
        <v>7</v>
      </c>
      <c r="C76" s="49" t="s">
        <v>100</v>
      </c>
      <c r="D76" s="49" t="s">
        <v>106</v>
      </c>
      <c r="E76" s="50" t="n">
        <v>0</v>
      </c>
      <c r="F76" s="50" t="n">
        <v>0</v>
      </c>
      <c r="G76" s="50" t="n">
        <v>0</v>
      </c>
      <c r="H76" s="50" t="n">
        <v>0</v>
      </c>
      <c r="I76" s="50" t="n">
        <v>0</v>
      </c>
      <c r="J76" s="50" t="n">
        <v>0</v>
      </c>
    </row>
    <row r="77" customFormat="false" ht="15" hidden="false" customHeight="false" outlineLevel="0" collapsed="false">
      <c r="A77" s="47" t="s">
        <v>115</v>
      </c>
      <c r="B77" s="47" t="n">
        <v>813</v>
      </c>
      <c r="C77" s="47" t="s">
        <v>97</v>
      </c>
      <c r="D77" s="47" t="s">
        <v>107</v>
      </c>
      <c r="E77" s="48" t="n">
        <v>0</v>
      </c>
      <c r="F77" s="48" t="n">
        <v>2</v>
      </c>
      <c r="G77" s="48" t="n">
        <v>0</v>
      </c>
      <c r="H77" s="48" t="n">
        <v>0</v>
      </c>
      <c r="I77" s="48" t="n">
        <v>0</v>
      </c>
      <c r="J77" s="48" t="n">
        <v>0</v>
      </c>
    </row>
    <row r="78" customFormat="false" ht="15" hidden="false" customHeight="false" outlineLevel="0" collapsed="false">
      <c r="A78" s="49" t="s">
        <v>115</v>
      </c>
      <c r="B78" s="49" t="n">
        <v>9</v>
      </c>
      <c r="C78" s="49" t="s">
        <v>97</v>
      </c>
      <c r="D78" s="49" t="s">
        <v>98</v>
      </c>
      <c r="E78" s="50" t="n">
        <v>0</v>
      </c>
      <c r="F78" s="50" t="n">
        <v>4</v>
      </c>
      <c r="G78" s="50" t="n">
        <v>0</v>
      </c>
      <c r="H78" s="50" t="n">
        <v>0</v>
      </c>
      <c r="I78" s="50" t="n">
        <v>0</v>
      </c>
      <c r="J78" s="50" t="n">
        <v>0</v>
      </c>
    </row>
    <row r="79" customFormat="false" ht="15" hidden="false" customHeight="false" outlineLevel="0" collapsed="false">
      <c r="A79" s="47" t="s">
        <v>115</v>
      </c>
      <c r="B79" s="47" t="n">
        <v>98</v>
      </c>
      <c r="C79" s="47" t="s">
        <v>97</v>
      </c>
      <c r="D79" s="47" t="s">
        <v>108</v>
      </c>
      <c r="E79" s="48" t="n">
        <v>0</v>
      </c>
      <c r="F79" s="48" t="n">
        <v>12</v>
      </c>
      <c r="G79" s="48" t="n">
        <v>0</v>
      </c>
      <c r="H79" s="48" t="n">
        <v>0</v>
      </c>
      <c r="I79" s="48" t="n">
        <v>0</v>
      </c>
      <c r="J79" s="48" t="n">
        <v>0</v>
      </c>
    </row>
    <row r="80" customFormat="false" ht="15" hidden="false" customHeight="false" outlineLevel="0" collapsed="false">
      <c r="A80" s="49" t="s">
        <v>117</v>
      </c>
      <c r="B80" s="49"/>
      <c r="C80" s="49" t="s">
        <v>100</v>
      </c>
      <c r="D80" s="49" t="s">
        <v>116</v>
      </c>
      <c r="E80" s="50" t="n">
        <v>0</v>
      </c>
      <c r="F80" s="50" t="n">
        <v>0</v>
      </c>
      <c r="G80" s="50" t="n">
        <v>0</v>
      </c>
      <c r="H80" s="50" t="n">
        <v>0</v>
      </c>
      <c r="I80" s="50" t="n">
        <v>0</v>
      </c>
      <c r="J80" s="50" t="n">
        <v>0</v>
      </c>
    </row>
    <row r="81" customFormat="false" ht="15" hidden="false" customHeight="false" outlineLevel="0" collapsed="false">
      <c r="A81" s="47" t="s">
        <v>117</v>
      </c>
      <c r="B81" s="47" t="n">
        <v>16</v>
      </c>
      <c r="C81" s="47" t="s">
        <v>97</v>
      </c>
      <c r="D81" s="47" t="s">
        <v>99</v>
      </c>
      <c r="E81" s="48" t="n">
        <v>0</v>
      </c>
      <c r="F81" s="48" t="n">
        <v>0</v>
      </c>
      <c r="G81" s="48" t="n">
        <v>0</v>
      </c>
      <c r="H81" s="48" t="n">
        <v>0</v>
      </c>
      <c r="I81" s="48" t="n">
        <v>0</v>
      </c>
      <c r="J81" s="48" t="n">
        <v>0</v>
      </c>
    </row>
    <row r="82" customFormat="false" ht="15" hidden="false" customHeight="false" outlineLevel="0" collapsed="false">
      <c r="A82" s="49" t="s">
        <v>117</v>
      </c>
      <c r="B82" s="49" t="n">
        <v>245</v>
      </c>
      <c r="C82" s="49" t="s">
        <v>100</v>
      </c>
      <c r="D82" s="49" t="s">
        <v>101</v>
      </c>
      <c r="E82" s="50" t="n">
        <v>0</v>
      </c>
      <c r="F82" s="50" t="n">
        <v>0</v>
      </c>
      <c r="G82" s="50" t="n">
        <v>0</v>
      </c>
      <c r="H82" s="50" t="n">
        <v>0</v>
      </c>
      <c r="I82" s="50" t="n">
        <v>0</v>
      </c>
      <c r="J82" s="50" t="n">
        <v>0</v>
      </c>
    </row>
    <row r="83" customFormat="false" ht="15" hidden="false" customHeight="false" outlineLevel="0" collapsed="false">
      <c r="A83" s="47" t="s">
        <v>117</v>
      </c>
      <c r="B83" s="47" t="n">
        <v>285</v>
      </c>
      <c r="C83" s="47" t="s">
        <v>97</v>
      </c>
      <c r="D83" s="47" t="s">
        <v>102</v>
      </c>
      <c r="E83" s="48" t="n">
        <v>0</v>
      </c>
      <c r="F83" s="48" t="n">
        <v>7</v>
      </c>
      <c r="G83" s="48" t="n">
        <v>0</v>
      </c>
      <c r="H83" s="48" t="n">
        <v>0</v>
      </c>
      <c r="I83" s="48" t="n">
        <v>0</v>
      </c>
      <c r="J83" s="48" t="n">
        <v>0</v>
      </c>
    </row>
    <row r="84" customFormat="false" ht="15" hidden="false" customHeight="false" outlineLevel="0" collapsed="false">
      <c r="A84" s="49" t="s">
        <v>117</v>
      </c>
      <c r="B84" s="49" t="n">
        <v>285</v>
      </c>
      <c r="C84" s="49" t="s">
        <v>97</v>
      </c>
      <c r="D84" s="49" t="s">
        <v>103</v>
      </c>
      <c r="E84" s="50" t="n">
        <v>0</v>
      </c>
      <c r="F84" s="50" t="n">
        <v>8</v>
      </c>
      <c r="G84" s="50" t="n">
        <v>0</v>
      </c>
      <c r="H84" s="50" t="n">
        <v>0</v>
      </c>
      <c r="I84" s="50" t="n">
        <v>0</v>
      </c>
      <c r="J84" s="50" t="n">
        <v>0</v>
      </c>
    </row>
    <row r="85" customFormat="false" ht="15" hidden="false" customHeight="false" outlineLevel="0" collapsed="false">
      <c r="A85" s="53" t="s">
        <v>117</v>
      </c>
      <c r="B85" s="53" t="n">
        <v>321</v>
      </c>
      <c r="C85" s="53" t="s">
        <v>104</v>
      </c>
      <c r="D85" s="53" t="s">
        <v>105</v>
      </c>
      <c r="E85" s="54" t="n">
        <v>0</v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</row>
    <row r="86" customFormat="false" ht="15" hidden="false" customHeight="false" outlineLevel="0" collapsed="false">
      <c r="A86" s="49" t="s">
        <v>117</v>
      </c>
      <c r="B86" s="49" t="n">
        <v>813</v>
      </c>
      <c r="C86" s="49" t="s">
        <v>97</v>
      </c>
      <c r="D86" s="49" t="s">
        <v>107</v>
      </c>
      <c r="E86" s="50" t="n">
        <v>0</v>
      </c>
      <c r="F86" s="50" t="n">
        <v>4</v>
      </c>
      <c r="G86" s="50" t="n">
        <v>0</v>
      </c>
      <c r="H86" s="50" t="n">
        <v>0</v>
      </c>
      <c r="I86" s="50" t="n">
        <v>0</v>
      </c>
      <c r="J86" s="50" t="n">
        <v>0</v>
      </c>
    </row>
    <row r="87" customFormat="false" ht="15" hidden="false" customHeight="false" outlineLevel="0" collapsed="false">
      <c r="A87" s="47" t="s">
        <v>117</v>
      </c>
      <c r="B87" s="47" t="n">
        <v>9</v>
      </c>
      <c r="C87" s="47" t="s">
        <v>97</v>
      </c>
      <c r="D87" s="47" t="s">
        <v>98</v>
      </c>
      <c r="E87" s="48" t="n">
        <v>0</v>
      </c>
      <c r="F87" s="48" t="n">
        <v>4</v>
      </c>
      <c r="G87" s="48" t="n">
        <v>0</v>
      </c>
      <c r="H87" s="48" t="n">
        <v>0</v>
      </c>
      <c r="I87" s="48" t="n">
        <v>0</v>
      </c>
      <c r="J87" s="48" t="n">
        <v>0</v>
      </c>
    </row>
    <row r="88" customFormat="false" ht="15" hidden="false" customHeight="false" outlineLevel="0" collapsed="false">
      <c r="A88" s="49" t="s">
        <v>117</v>
      </c>
      <c r="B88" s="49" t="n">
        <v>98</v>
      </c>
      <c r="C88" s="49" t="s">
        <v>97</v>
      </c>
      <c r="D88" s="49" t="s">
        <v>108</v>
      </c>
      <c r="E88" s="50" t="n">
        <v>0</v>
      </c>
      <c r="F88" s="50" t="n">
        <v>8</v>
      </c>
      <c r="G88" s="50" t="n">
        <v>0</v>
      </c>
      <c r="H88" s="50" t="n">
        <v>0</v>
      </c>
      <c r="I88" s="50" t="n">
        <v>0</v>
      </c>
      <c r="J88" s="50" t="n">
        <v>0</v>
      </c>
    </row>
    <row r="89" customFormat="false" ht="15" hidden="false" customHeight="false" outlineLevel="0" collapsed="false">
      <c r="A89" s="51" t="s">
        <v>118</v>
      </c>
      <c r="B89" s="51"/>
      <c r="C89" s="51" t="s">
        <v>100</v>
      </c>
      <c r="D89" s="51" t="s">
        <v>116</v>
      </c>
      <c r="E89" s="52" t="n">
        <v>0</v>
      </c>
      <c r="F89" s="52" t="n">
        <v>0</v>
      </c>
      <c r="G89" s="52" t="n">
        <v>0</v>
      </c>
      <c r="H89" s="52" t="n">
        <v>0</v>
      </c>
      <c r="I89" s="52" t="n">
        <v>0</v>
      </c>
      <c r="J89" s="52" t="n">
        <v>0</v>
      </c>
    </row>
    <row r="90" customFormat="false" ht="15" hidden="false" customHeight="false" outlineLevel="0" collapsed="false">
      <c r="A90" s="49" t="s">
        <v>118</v>
      </c>
      <c r="B90" s="49" t="n">
        <v>16</v>
      </c>
      <c r="C90" s="49" t="s">
        <v>97</v>
      </c>
      <c r="D90" s="49" t="s">
        <v>99</v>
      </c>
      <c r="E90" s="50" t="n">
        <v>0</v>
      </c>
      <c r="F90" s="50" t="n">
        <v>0</v>
      </c>
      <c r="G90" s="50" t="n">
        <v>0</v>
      </c>
      <c r="H90" s="50" t="n">
        <v>0</v>
      </c>
      <c r="I90" s="50" t="n">
        <v>0</v>
      </c>
      <c r="J90" s="50" t="n">
        <v>0</v>
      </c>
    </row>
    <row r="91" customFormat="false" ht="15" hidden="false" customHeight="false" outlineLevel="0" collapsed="false">
      <c r="A91" s="51" t="s">
        <v>118</v>
      </c>
      <c r="B91" s="51" t="n">
        <v>245</v>
      </c>
      <c r="C91" s="51" t="s">
        <v>100</v>
      </c>
      <c r="D91" s="51" t="s">
        <v>101</v>
      </c>
      <c r="E91" s="52" t="n">
        <v>0</v>
      </c>
      <c r="F91" s="52" t="n">
        <v>14</v>
      </c>
      <c r="G91" s="52" t="n">
        <v>0</v>
      </c>
      <c r="H91" s="52" t="n">
        <v>0</v>
      </c>
      <c r="I91" s="52" t="n">
        <v>0</v>
      </c>
      <c r="J91" s="52" t="n">
        <v>0</v>
      </c>
    </row>
    <row r="92" customFormat="false" ht="15" hidden="false" customHeight="false" outlineLevel="0" collapsed="false">
      <c r="A92" s="49" t="s">
        <v>118</v>
      </c>
      <c r="B92" s="49" t="n">
        <v>285</v>
      </c>
      <c r="C92" s="49" t="s">
        <v>97</v>
      </c>
      <c r="D92" s="49" t="s">
        <v>102</v>
      </c>
      <c r="E92" s="50" t="n">
        <v>0</v>
      </c>
      <c r="F92" s="50" t="n">
        <v>6</v>
      </c>
      <c r="G92" s="50" t="n">
        <v>0</v>
      </c>
      <c r="H92" s="50" t="n">
        <v>0</v>
      </c>
      <c r="I92" s="50" t="n">
        <v>0</v>
      </c>
      <c r="J92" s="50" t="n">
        <v>0</v>
      </c>
    </row>
    <row r="93" customFormat="false" ht="15" hidden="false" customHeight="false" outlineLevel="0" collapsed="false">
      <c r="A93" s="47" t="s">
        <v>118</v>
      </c>
      <c r="B93" s="47" t="n">
        <v>285</v>
      </c>
      <c r="C93" s="47" t="s">
        <v>97</v>
      </c>
      <c r="D93" s="47" t="s">
        <v>103</v>
      </c>
      <c r="E93" s="48" t="n">
        <v>0</v>
      </c>
      <c r="F93" s="48" t="n">
        <v>7</v>
      </c>
      <c r="G93" s="48" t="n">
        <v>0</v>
      </c>
      <c r="H93" s="48" t="n">
        <v>0</v>
      </c>
      <c r="I93" s="48" t="n">
        <v>0</v>
      </c>
      <c r="J93" s="48" t="n">
        <v>0</v>
      </c>
    </row>
    <row r="94" customFormat="false" ht="15" hidden="false" customHeight="false" outlineLevel="0" collapsed="false">
      <c r="A94" s="49" t="s">
        <v>118</v>
      </c>
      <c r="B94" s="49" t="n">
        <v>321</v>
      </c>
      <c r="C94" s="49" t="s">
        <v>104</v>
      </c>
      <c r="D94" s="49" t="s">
        <v>105</v>
      </c>
      <c r="E94" s="50" t="n">
        <v>0</v>
      </c>
      <c r="F94" s="50" t="n">
        <v>0</v>
      </c>
      <c r="G94" s="50" t="n">
        <v>0</v>
      </c>
      <c r="H94" s="50" t="n">
        <v>0</v>
      </c>
      <c r="I94" s="50" t="n">
        <v>0</v>
      </c>
      <c r="J94" s="50" t="n">
        <v>0</v>
      </c>
    </row>
    <row r="95" customFormat="false" ht="15" hidden="false" customHeight="false" outlineLevel="0" collapsed="false">
      <c r="A95" s="51" t="s">
        <v>118</v>
      </c>
      <c r="B95" s="51" t="n">
        <v>427</v>
      </c>
      <c r="C95" s="51" t="s">
        <v>100</v>
      </c>
      <c r="D95" s="51" t="s">
        <v>119</v>
      </c>
      <c r="E95" s="52" t="n">
        <v>0</v>
      </c>
      <c r="F95" s="52" t="n">
        <v>2</v>
      </c>
      <c r="G95" s="52" t="n">
        <v>0</v>
      </c>
      <c r="H95" s="52" t="n">
        <v>0</v>
      </c>
      <c r="I95" s="52" t="n">
        <v>0</v>
      </c>
      <c r="J95" s="52" t="n">
        <v>0</v>
      </c>
    </row>
    <row r="96" customFormat="false" ht="15" hidden="false" customHeight="false" outlineLevel="0" collapsed="false">
      <c r="A96" s="49" t="s">
        <v>118</v>
      </c>
      <c r="B96" s="49" t="n">
        <v>813</v>
      </c>
      <c r="C96" s="49" t="s">
        <v>97</v>
      </c>
      <c r="D96" s="49" t="s">
        <v>107</v>
      </c>
      <c r="E96" s="50" t="n">
        <v>0</v>
      </c>
      <c r="F96" s="50" t="n">
        <v>6</v>
      </c>
      <c r="G96" s="50" t="n">
        <v>0</v>
      </c>
      <c r="H96" s="50" t="n">
        <v>0</v>
      </c>
      <c r="I96" s="50" t="n">
        <v>0</v>
      </c>
      <c r="J96" s="50" t="n">
        <v>0</v>
      </c>
    </row>
    <row r="97" customFormat="false" ht="15" hidden="false" customHeight="false" outlineLevel="0" collapsed="false">
      <c r="A97" s="47" t="s">
        <v>118</v>
      </c>
      <c r="B97" s="47" t="n">
        <v>9</v>
      </c>
      <c r="C97" s="47" t="s">
        <v>97</v>
      </c>
      <c r="D97" s="47" t="s">
        <v>98</v>
      </c>
      <c r="E97" s="48" t="n">
        <v>0</v>
      </c>
      <c r="F97" s="48" t="n">
        <v>4</v>
      </c>
      <c r="G97" s="48" t="n">
        <v>0</v>
      </c>
      <c r="H97" s="48" t="n">
        <v>0</v>
      </c>
      <c r="I97" s="48" t="n">
        <v>0</v>
      </c>
      <c r="J97" s="48" t="n">
        <v>0</v>
      </c>
    </row>
    <row r="98" customFormat="false" ht="15" hidden="false" customHeight="false" outlineLevel="0" collapsed="false">
      <c r="A98" s="49" t="s">
        <v>118</v>
      </c>
      <c r="B98" s="49" t="n">
        <v>98</v>
      </c>
      <c r="C98" s="49" t="s">
        <v>97</v>
      </c>
      <c r="D98" s="49" t="s">
        <v>108</v>
      </c>
      <c r="E98" s="50" t="n">
        <v>0</v>
      </c>
      <c r="F98" s="50" t="n">
        <v>9</v>
      </c>
      <c r="G98" s="50" t="n">
        <v>0</v>
      </c>
      <c r="H98" s="50" t="n">
        <v>0</v>
      </c>
      <c r="I98" s="50" t="n">
        <v>0</v>
      </c>
      <c r="J98" s="50" t="n">
        <v>0</v>
      </c>
    </row>
    <row r="99" customFormat="false" ht="15" hidden="false" customHeight="false" outlineLevel="0" collapsed="false">
      <c r="A99" s="47" t="s">
        <v>120</v>
      </c>
      <c r="B99" s="47" t="n">
        <v>16</v>
      </c>
      <c r="C99" s="47" t="s">
        <v>97</v>
      </c>
      <c r="D99" s="47" t="s">
        <v>121</v>
      </c>
      <c r="E99" s="48" t="n">
        <v>0</v>
      </c>
      <c r="F99" s="48" t="n">
        <v>0</v>
      </c>
      <c r="G99" s="48" t="n">
        <v>0</v>
      </c>
      <c r="H99" s="48" t="n">
        <v>0</v>
      </c>
      <c r="I99" s="48" t="n">
        <v>0</v>
      </c>
      <c r="J99" s="48" t="n">
        <v>0</v>
      </c>
    </row>
    <row r="100" customFormat="false" ht="15" hidden="false" customHeight="false" outlineLevel="0" collapsed="false">
      <c r="A100" s="49" t="s">
        <v>120</v>
      </c>
      <c r="B100" s="49" t="n">
        <v>245</v>
      </c>
      <c r="C100" s="49" t="s">
        <v>100</v>
      </c>
      <c r="D100" s="49" t="s">
        <v>101</v>
      </c>
      <c r="E100" s="50" t="n">
        <v>0</v>
      </c>
      <c r="F100" s="50" t="n">
        <v>11</v>
      </c>
      <c r="G100" s="50" t="n">
        <v>0</v>
      </c>
      <c r="H100" s="50" t="n">
        <v>0</v>
      </c>
      <c r="I100" s="50" t="n">
        <v>0</v>
      </c>
      <c r="J100" s="50" t="n">
        <v>0</v>
      </c>
    </row>
    <row r="101" customFormat="false" ht="15" hidden="false" customHeight="false" outlineLevel="0" collapsed="false">
      <c r="A101" s="47" t="s">
        <v>120</v>
      </c>
      <c r="B101" s="47" t="n">
        <v>285</v>
      </c>
      <c r="C101" s="47" t="s">
        <v>97</v>
      </c>
      <c r="D101" s="47" t="s">
        <v>102</v>
      </c>
      <c r="E101" s="48" t="n">
        <v>0</v>
      </c>
      <c r="F101" s="48" t="n">
        <v>5</v>
      </c>
      <c r="G101" s="48" t="n">
        <v>0</v>
      </c>
      <c r="H101" s="48" t="n">
        <v>0</v>
      </c>
      <c r="I101" s="48" t="n">
        <v>0</v>
      </c>
      <c r="J101" s="48" t="n">
        <v>0</v>
      </c>
    </row>
    <row r="102" customFormat="false" ht="15" hidden="false" customHeight="false" outlineLevel="0" collapsed="false">
      <c r="A102" s="49" t="s">
        <v>120</v>
      </c>
      <c r="B102" s="49" t="n">
        <v>285</v>
      </c>
      <c r="C102" s="49" t="s">
        <v>97</v>
      </c>
      <c r="D102" s="49" t="s">
        <v>103</v>
      </c>
      <c r="E102" s="50" t="n">
        <v>0</v>
      </c>
      <c r="F102" s="50" t="n">
        <v>5</v>
      </c>
      <c r="G102" s="50" t="n">
        <v>0</v>
      </c>
      <c r="H102" s="50" t="n">
        <v>0</v>
      </c>
      <c r="I102" s="50" t="n">
        <v>0</v>
      </c>
      <c r="J102" s="50" t="n">
        <v>0</v>
      </c>
    </row>
    <row r="103" customFormat="false" ht="15" hidden="false" customHeight="false" outlineLevel="0" collapsed="false">
      <c r="A103" s="53" t="s">
        <v>120</v>
      </c>
      <c r="B103" s="53" t="n">
        <v>321</v>
      </c>
      <c r="C103" s="53" t="s">
        <v>104</v>
      </c>
      <c r="D103" s="53" t="s">
        <v>105</v>
      </c>
      <c r="E103" s="54" t="n">
        <v>0</v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</row>
    <row r="104" customFormat="false" ht="15" hidden="false" customHeight="false" outlineLevel="0" collapsed="false">
      <c r="A104" s="49" t="s">
        <v>120</v>
      </c>
      <c r="B104" s="49" t="n">
        <v>427</v>
      </c>
      <c r="C104" s="49" t="s">
        <v>100</v>
      </c>
      <c r="D104" s="49" t="s">
        <v>119</v>
      </c>
      <c r="E104" s="50" t="n">
        <v>0</v>
      </c>
      <c r="F104" s="50" t="n">
        <v>8</v>
      </c>
      <c r="G104" s="50" t="n">
        <v>0</v>
      </c>
      <c r="H104" s="50" t="n">
        <v>0</v>
      </c>
      <c r="I104" s="50" t="n">
        <v>0</v>
      </c>
      <c r="J104" s="50" t="n">
        <v>0</v>
      </c>
    </row>
    <row r="105" customFormat="false" ht="15" hidden="false" customHeight="false" outlineLevel="0" collapsed="false">
      <c r="A105" s="47" t="s">
        <v>120</v>
      </c>
      <c r="B105" s="47" t="n">
        <v>813</v>
      </c>
      <c r="C105" s="47" t="s">
        <v>97</v>
      </c>
      <c r="D105" s="47" t="s">
        <v>107</v>
      </c>
      <c r="E105" s="48" t="n">
        <v>0</v>
      </c>
      <c r="F105" s="48" t="n">
        <v>5</v>
      </c>
      <c r="G105" s="48" t="n">
        <v>0</v>
      </c>
      <c r="H105" s="48" t="n">
        <v>0</v>
      </c>
      <c r="I105" s="48" t="n">
        <v>0</v>
      </c>
      <c r="J105" s="48" t="n">
        <v>0</v>
      </c>
    </row>
    <row r="106" customFormat="false" ht="15" hidden="false" customHeight="false" outlineLevel="0" collapsed="false">
      <c r="A106" s="49" t="s">
        <v>120</v>
      </c>
      <c r="B106" s="49" t="n">
        <v>9</v>
      </c>
      <c r="C106" s="49" t="s">
        <v>97</v>
      </c>
      <c r="D106" s="49" t="s">
        <v>98</v>
      </c>
      <c r="E106" s="50" t="n">
        <v>0</v>
      </c>
      <c r="F106" s="50" t="n">
        <v>2</v>
      </c>
      <c r="G106" s="50" t="n">
        <v>0</v>
      </c>
      <c r="H106" s="50" t="n">
        <v>0</v>
      </c>
      <c r="I106" s="50" t="n">
        <v>0</v>
      </c>
      <c r="J106" s="50" t="n">
        <v>0</v>
      </c>
    </row>
    <row r="107" customFormat="false" ht="15" hidden="false" customHeight="false" outlineLevel="0" collapsed="false">
      <c r="A107" s="47" t="s">
        <v>120</v>
      </c>
      <c r="B107" s="47" t="n">
        <v>98</v>
      </c>
      <c r="C107" s="47" t="s">
        <v>97</v>
      </c>
      <c r="D107" s="47" t="s">
        <v>108</v>
      </c>
      <c r="E107" s="48" t="n">
        <v>0</v>
      </c>
      <c r="F107" s="48" t="n">
        <v>6</v>
      </c>
      <c r="G107" s="48" t="n">
        <v>0</v>
      </c>
      <c r="H107" s="48" t="n">
        <v>0</v>
      </c>
      <c r="I107" s="48" t="n">
        <v>0</v>
      </c>
      <c r="J107" s="48" t="n">
        <v>0</v>
      </c>
    </row>
    <row r="108" customFormat="false" ht="15" hidden="false" customHeight="false" outlineLevel="0" collapsed="false">
      <c r="A108" s="49" t="s">
        <v>122</v>
      </c>
      <c r="B108" s="49" t="n">
        <v>16</v>
      </c>
      <c r="C108" s="49" t="s">
        <v>97</v>
      </c>
      <c r="D108" s="49" t="s">
        <v>121</v>
      </c>
      <c r="E108" s="50" t="n">
        <v>0</v>
      </c>
      <c r="F108" s="50" t="n">
        <v>0</v>
      </c>
      <c r="G108" s="50" t="n">
        <v>0</v>
      </c>
      <c r="H108" s="50" t="n">
        <v>0</v>
      </c>
      <c r="I108" s="50" t="n">
        <v>0</v>
      </c>
      <c r="J108" s="50" t="n">
        <v>0</v>
      </c>
    </row>
    <row r="109" customFormat="false" ht="15" hidden="false" customHeight="false" outlineLevel="0" collapsed="false">
      <c r="A109" s="51" t="s">
        <v>122</v>
      </c>
      <c r="B109" s="51" t="n">
        <v>245</v>
      </c>
      <c r="C109" s="51" t="s">
        <v>100</v>
      </c>
      <c r="D109" s="51" t="s">
        <v>101</v>
      </c>
      <c r="E109" s="52" t="n">
        <v>0</v>
      </c>
      <c r="F109" s="52" t="n">
        <v>0</v>
      </c>
      <c r="G109" s="52" t="n">
        <v>0</v>
      </c>
      <c r="H109" s="52" t="n">
        <v>0</v>
      </c>
      <c r="I109" s="52" t="n">
        <v>0</v>
      </c>
      <c r="J109" s="52" t="n">
        <v>0</v>
      </c>
    </row>
    <row r="110" customFormat="false" ht="15" hidden="false" customHeight="false" outlineLevel="0" collapsed="false">
      <c r="A110" s="49" t="s">
        <v>122</v>
      </c>
      <c r="B110" s="49" t="n">
        <v>285</v>
      </c>
      <c r="C110" s="49" t="s">
        <v>97</v>
      </c>
      <c r="D110" s="49" t="s">
        <v>102</v>
      </c>
      <c r="E110" s="50" t="n">
        <v>0</v>
      </c>
      <c r="F110" s="50" t="n">
        <v>0</v>
      </c>
      <c r="G110" s="50" t="n">
        <v>0</v>
      </c>
      <c r="H110" s="50" t="n">
        <v>0</v>
      </c>
      <c r="I110" s="50" t="n">
        <v>0</v>
      </c>
      <c r="J110" s="50" t="n">
        <v>0</v>
      </c>
    </row>
    <row r="111" customFormat="false" ht="15" hidden="false" customHeight="false" outlineLevel="0" collapsed="false">
      <c r="A111" s="47" t="s">
        <v>122</v>
      </c>
      <c r="B111" s="47" t="n">
        <v>285</v>
      </c>
      <c r="C111" s="47" t="s">
        <v>97</v>
      </c>
      <c r="D111" s="47" t="s">
        <v>103</v>
      </c>
      <c r="E111" s="48" t="n">
        <v>0</v>
      </c>
      <c r="F111" s="48" t="n">
        <v>0</v>
      </c>
      <c r="G111" s="48" t="n">
        <v>0</v>
      </c>
      <c r="H111" s="48" t="n">
        <v>0</v>
      </c>
      <c r="I111" s="48" t="n">
        <v>0</v>
      </c>
      <c r="J111" s="48" t="n">
        <v>0</v>
      </c>
    </row>
    <row r="112" customFormat="false" ht="15" hidden="false" customHeight="false" outlineLevel="0" collapsed="false">
      <c r="A112" s="49" t="s">
        <v>122</v>
      </c>
      <c r="B112" s="49" t="n">
        <v>321</v>
      </c>
      <c r="C112" s="49" t="s">
        <v>104</v>
      </c>
      <c r="D112" s="49" t="s">
        <v>105</v>
      </c>
      <c r="E112" s="50" t="n">
        <v>0</v>
      </c>
      <c r="F112" s="50" t="n">
        <v>0</v>
      </c>
      <c r="G112" s="50" t="n">
        <v>0</v>
      </c>
      <c r="H112" s="50" t="n">
        <v>0</v>
      </c>
      <c r="I112" s="50" t="n">
        <v>0</v>
      </c>
      <c r="J112" s="50" t="n">
        <v>0</v>
      </c>
    </row>
    <row r="113" customFormat="false" ht="15" hidden="false" customHeight="false" outlineLevel="0" collapsed="false">
      <c r="A113" s="51" t="s">
        <v>122</v>
      </c>
      <c r="B113" s="51" t="n">
        <v>427</v>
      </c>
      <c r="C113" s="51" t="s">
        <v>100</v>
      </c>
      <c r="D113" s="51" t="s">
        <v>119</v>
      </c>
      <c r="E113" s="52" t="n">
        <v>0</v>
      </c>
      <c r="F113" s="52" t="n">
        <v>0</v>
      </c>
      <c r="G113" s="52" t="n">
        <v>0</v>
      </c>
      <c r="H113" s="52" t="n">
        <v>0</v>
      </c>
      <c r="I113" s="52" t="n">
        <v>0</v>
      </c>
      <c r="J113" s="52" t="n">
        <v>0</v>
      </c>
    </row>
    <row r="114" customFormat="false" ht="15" hidden="false" customHeight="false" outlineLevel="0" collapsed="false">
      <c r="A114" s="49" t="s">
        <v>122</v>
      </c>
      <c r="B114" s="49" t="n">
        <v>813</v>
      </c>
      <c r="C114" s="49" t="s">
        <v>97</v>
      </c>
      <c r="D114" s="49" t="s">
        <v>107</v>
      </c>
      <c r="E114" s="50" t="n">
        <v>0</v>
      </c>
      <c r="F114" s="50" t="n">
        <v>0</v>
      </c>
      <c r="G114" s="50" t="n">
        <v>0</v>
      </c>
      <c r="H114" s="50" t="n">
        <v>0</v>
      </c>
      <c r="I114" s="50" t="n">
        <v>0</v>
      </c>
      <c r="J114" s="50" t="n">
        <v>0</v>
      </c>
    </row>
    <row r="115" customFormat="false" ht="15" hidden="false" customHeight="false" outlineLevel="0" collapsed="false">
      <c r="A115" s="47" t="s">
        <v>122</v>
      </c>
      <c r="B115" s="47" t="n">
        <v>9</v>
      </c>
      <c r="C115" s="47" t="s">
        <v>97</v>
      </c>
      <c r="D115" s="47" t="s">
        <v>98</v>
      </c>
      <c r="E115" s="48" t="n">
        <v>0</v>
      </c>
      <c r="F115" s="48" t="n">
        <v>0</v>
      </c>
      <c r="G115" s="48" t="n">
        <v>0</v>
      </c>
      <c r="H115" s="48" t="n">
        <v>0</v>
      </c>
      <c r="I115" s="48" t="n">
        <v>0</v>
      </c>
      <c r="J115" s="48" t="n">
        <v>0</v>
      </c>
    </row>
    <row r="116" customFormat="false" ht="15" hidden="false" customHeight="false" outlineLevel="0" collapsed="false">
      <c r="A116" s="49" t="s">
        <v>122</v>
      </c>
      <c r="B116" s="49" t="n">
        <v>98</v>
      </c>
      <c r="C116" s="49" t="s">
        <v>97</v>
      </c>
      <c r="D116" s="49" t="s">
        <v>108</v>
      </c>
      <c r="E116" s="50" t="n">
        <v>0</v>
      </c>
      <c r="F116" s="50" t="n">
        <v>0</v>
      </c>
      <c r="G116" s="50" t="n">
        <v>0</v>
      </c>
      <c r="H116" s="50" t="n">
        <v>0</v>
      </c>
      <c r="I116" s="50" t="n">
        <v>0</v>
      </c>
      <c r="J116" s="50" t="n">
        <v>0</v>
      </c>
    </row>
    <row r="117" customFormat="false" ht="15" hidden="false" customHeight="false" outlineLevel="0" collapsed="false">
      <c r="A117" s="47" t="s">
        <v>123</v>
      </c>
      <c r="B117" s="47" t="n">
        <v>16</v>
      </c>
      <c r="C117" s="47" t="s">
        <v>97</v>
      </c>
      <c r="D117" s="47" t="s">
        <v>121</v>
      </c>
      <c r="E117" s="48" t="n">
        <v>0</v>
      </c>
      <c r="F117" s="48" t="n">
        <v>0</v>
      </c>
      <c r="G117" s="48" t="n">
        <v>0</v>
      </c>
      <c r="H117" s="48" t="n">
        <v>0</v>
      </c>
      <c r="I117" s="48" t="n">
        <v>31</v>
      </c>
      <c r="J117" s="48" t="n">
        <v>0</v>
      </c>
    </row>
    <row r="118" customFormat="false" ht="15" hidden="false" customHeight="false" outlineLevel="0" collapsed="false">
      <c r="A118" s="49" t="s">
        <v>123</v>
      </c>
      <c r="B118" s="49" t="n">
        <v>245</v>
      </c>
      <c r="C118" s="49" t="s">
        <v>100</v>
      </c>
      <c r="D118" s="49" t="s">
        <v>101</v>
      </c>
      <c r="E118" s="50" t="n">
        <v>31</v>
      </c>
      <c r="F118" s="50" t="n">
        <v>0</v>
      </c>
      <c r="G118" s="50" t="n">
        <v>0</v>
      </c>
      <c r="H118" s="50" t="n">
        <v>0</v>
      </c>
      <c r="I118" s="50" t="n">
        <v>0</v>
      </c>
      <c r="J118" s="50" t="n">
        <v>31</v>
      </c>
    </row>
    <row r="119" customFormat="false" ht="15" hidden="false" customHeight="false" outlineLevel="0" collapsed="false">
      <c r="A119" s="47" t="s">
        <v>123</v>
      </c>
      <c r="B119" s="47" t="n">
        <v>285</v>
      </c>
      <c r="C119" s="47" t="s">
        <v>97</v>
      </c>
      <c r="D119" s="47" t="s">
        <v>102</v>
      </c>
      <c r="E119" s="48" t="n">
        <v>25</v>
      </c>
      <c r="F119" s="48" t="n">
        <v>7</v>
      </c>
      <c r="G119" s="48" t="n">
        <v>1</v>
      </c>
      <c r="H119" s="48" t="n">
        <v>0</v>
      </c>
      <c r="I119" s="48" t="n">
        <v>0</v>
      </c>
      <c r="J119" s="48" t="n">
        <v>25</v>
      </c>
    </row>
    <row r="120" customFormat="false" ht="15" hidden="false" customHeight="false" outlineLevel="0" collapsed="false">
      <c r="A120" s="49" t="s">
        <v>123</v>
      </c>
      <c r="B120" s="49" t="n">
        <v>285</v>
      </c>
      <c r="C120" s="49" t="s">
        <v>97</v>
      </c>
      <c r="D120" s="49" t="s">
        <v>103</v>
      </c>
      <c r="E120" s="50" t="n">
        <v>27</v>
      </c>
      <c r="F120" s="50" t="n">
        <v>9</v>
      </c>
      <c r="G120" s="50" t="n">
        <v>0</v>
      </c>
      <c r="H120" s="50" t="n">
        <v>0</v>
      </c>
      <c r="I120" s="50" t="n">
        <v>0</v>
      </c>
      <c r="J120" s="50" t="n">
        <v>27</v>
      </c>
    </row>
    <row r="121" customFormat="false" ht="15" hidden="false" customHeight="false" outlineLevel="0" collapsed="false">
      <c r="A121" s="53" t="s">
        <v>123</v>
      </c>
      <c r="B121" s="53" t="n">
        <v>321</v>
      </c>
      <c r="C121" s="53" t="s">
        <v>104</v>
      </c>
      <c r="D121" s="53" t="s">
        <v>105</v>
      </c>
      <c r="E121" s="54" t="n">
        <v>27</v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27</v>
      </c>
    </row>
    <row r="122" customFormat="false" ht="15" hidden="false" customHeight="false" outlineLevel="0" collapsed="false">
      <c r="A122" s="49" t="s">
        <v>123</v>
      </c>
      <c r="B122" s="49" t="n">
        <v>427</v>
      </c>
      <c r="C122" s="49" t="s">
        <v>100</v>
      </c>
      <c r="D122" s="49" t="s">
        <v>119</v>
      </c>
      <c r="E122" s="50" t="n">
        <v>31</v>
      </c>
      <c r="F122" s="50" t="n">
        <v>0</v>
      </c>
      <c r="G122" s="50" t="n">
        <v>0</v>
      </c>
      <c r="H122" s="50" t="n">
        <v>0</v>
      </c>
      <c r="I122" s="50" t="n">
        <v>0</v>
      </c>
      <c r="J122" s="50" t="n">
        <v>31</v>
      </c>
    </row>
    <row r="123" customFormat="false" ht="15" hidden="false" customHeight="false" outlineLevel="0" collapsed="false">
      <c r="A123" s="47" t="s">
        <v>123</v>
      </c>
      <c r="B123" s="47" t="n">
        <v>813</v>
      </c>
      <c r="C123" s="47" t="s">
        <v>97</v>
      </c>
      <c r="D123" s="47" t="s">
        <v>107</v>
      </c>
      <c r="E123" s="48" t="n">
        <v>22</v>
      </c>
      <c r="F123" s="48" t="n">
        <v>5</v>
      </c>
      <c r="G123" s="48" t="n">
        <v>5</v>
      </c>
      <c r="H123" s="48" t="n">
        <v>0</v>
      </c>
      <c r="I123" s="48" t="n">
        <v>0</v>
      </c>
      <c r="J123" s="48" t="n">
        <v>22</v>
      </c>
    </row>
    <row r="124" customFormat="false" ht="15" hidden="false" customHeight="false" outlineLevel="0" collapsed="false">
      <c r="A124" s="49" t="s">
        <v>123</v>
      </c>
      <c r="B124" s="49" t="n">
        <v>9</v>
      </c>
      <c r="C124" s="49" t="s">
        <v>97</v>
      </c>
      <c r="D124" s="49" t="s">
        <v>98</v>
      </c>
      <c r="E124" s="50" t="n">
        <v>26</v>
      </c>
      <c r="F124" s="50" t="n">
        <v>4</v>
      </c>
      <c r="G124" s="50" t="n">
        <v>1</v>
      </c>
      <c r="H124" s="50" t="n">
        <v>0</v>
      </c>
      <c r="I124" s="50" t="n">
        <v>0</v>
      </c>
      <c r="J124" s="50" t="n">
        <v>26</v>
      </c>
    </row>
    <row r="125" customFormat="false" ht="15" hidden="false" customHeight="false" outlineLevel="0" collapsed="false">
      <c r="A125" s="47" t="s">
        <v>123</v>
      </c>
      <c r="B125" s="47" t="n">
        <v>98</v>
      </c>
      <c r="C125" s="47" t="s">
        <v>97</v>
      </c>
      <c r="D125" s="47" t="s">
        <v>108</v>
      </c>
      <c r="E125" s="48" t="n">
        <v>26</v>
      </c>
      <c r="F125" s="48" t="n">
        <v>8</v>
      </c>
      <c r="G125" s="48" t="n">
        <v>0</v>
      </c>
      <c r="H125" s="48" t="n">
        <v>0</v>
      </c>
      <c r="I125" s="48" t="n">
        <v>0</v>
      </c>
      <c r="J125" s="48" t="n">
        <v>26</v>
      </c>
    </row>
    <row r="126" customFormat="false" ht="15" hidden="false" customHeight="false" outlineLevel="0" collapsed="false">
      <c r="A126" s="49" t="s">
        <v>124</v>
      </c>
      <c r="B126" s="49" t="n">
        <v>245</v>
      </c>
      <c r="C126" s="49" t="s">
        <v>100</v>
      </c>
      <c r="D126" s="49" t="s">
        <v>101</v>
      </c>
      <c r="E126" s="50" t="n">
        <v>0</v>
      </c>
      <c r="F126" s="50" t="n">
        <v>0</v>
      </c>
      <c r="G126" s="50" t="n">
        <v>30</v>
      </c>
      <c r="H126" s="50" t="n">
        <v>0</v>
      </c>
      <c r="I126" s="50" t="n">
        <v>0</v>
      </c>
      <c r="J126" s="50" t="n">
        <v>0</v>
      </c>
    </row>
    <row r="127" customFormat="false" ht="15" hidden="false" customHeight="false" outlineLevel="0" collapsed="false">
      <c r="A127" s="47" t="s">
        <v>124</v>
      </c>
      <c r="B127" s="47" t="n">
        <v>285</v>
      </c>
      <c r="C127" s="47" t="s">
        <v>97</v>
      </c>
      <c r="D127" s="47" t="s">
        <v>102</v>
      </c>
      <c r="E127" s="48" t="n">
        <v>21</v>
      </c>
      <c r="F127" s="48" t="n">
        <v>7</v>
      </c>
      <c r="G127" s="48" t="n">
        <v>5</v>
      </c>
      <c r="H127" s="48" t="n">
        <v>0</v>
      </c>
      <c r="I127" s="48" t="n">
        <v>0</v>
      </c>
      <c r="J127" s="48" t="n">
        <v>21</v>
      </c>
    </row>
    <row r="128" customFormat="false" ht="15" hidden="false" customHeight="false" outlineLevel="0" collapsed="false">
      <c r="A128" s="49" t="s">
        <v>124</v>
      </c>
      <c r="B128" s="49" t="n">
        <v>285</v>
      </c>
      <c r="C128" s="49" t="s">
        <v>97</v>
      </c>
      <c r="D128" s="49" t="s">
        <v>103</v>
      </c>
      <c r="E128" s="50" t="n">
        <v>5</v>
      </c>
      <c r="F128" s="50" t="n">
        <v>1</v>
      </c>
      <c r="G128" s="50" t="n">
        <v>5</v>
      </c>
      <c r="H128" s="50" t="n">
        <v>0</v>
      </c>
      <c r="I128" s="50" t="n">
        <v>19</v>
      </c>
      <c r="J128" s="50" t="n">
        <v>5</v>
      </c>
    </row>
    <row r="129" customFormat="false" ht="15" hidden="false" customHeight="false" outlineLevel="0" collapsed="false">
      <c r="A129" s="53" t="s">
        <v>124</v>
      </c>
      <c r="B129" s="53" t="n">
        <v>321</v>
      </c>
      <c r="C129" s="53" t="s">
        <v>104</v>
      </c>
      <c r="D129" s="53" t="s">
        <v>105</v>
      </c>
      <c r="E129" s="54" t="n">
        <v>25</v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25</v>
      </c>
    </row>
    <row r="130" customFormat="false" ht="15" hidden="false" customHeight="false" outlineLevel="0" collapsed="false">
      <c r="A130" s="49" t="s">
        <v>124</v>
      </c>
      <c r="B130" s="49" t="n">
        <v>427</v>
      </c>
      <c r="C130" s="49" t="s">
        <v>100</v>
      </c>
      <c r="D130" s="49" t="s">
        <v>119</v>
      </c>
      <c r="E130" s="50" t="n">
        <v>29</v>
      </c>
      <c r="F130" s="50" t="n">
        <v>28</v>
      </c>
      <c r="G130" s="50" t="n">
        <v>1</v>
      </c>
      <c r="H130" s="50" t="n">
        <v>0</v>
      </c>
      <c r="I130" s="50" t="n">
        <v>0</v>
      </c>
      <c r="J130" s="50" t="n">
        <v>29</v>
      </c>
    </row>
    <row r="131" customFormat="false" ht="15" hidden="false" customHeight="false" outlineLevel="0" collapsed="false">
      <c r="A131" s="47" t="s">
        <v>124</v>
      </c>
      <c r="B131" s="47" t="n">
        <v>429</v>
      </c>
      <c r="C131" s="47" t="s">
        <v>97</v>
      </c>
      <c r="D131" s="47" t="s">
        <v>125</v>
      </c>
      <c r="E131" s="48" t="n">
        <v>16</v>
      </c>
      <c r="F131" s="48" t="n">
        <v>0</v>
      </c>
      <c r="G131" s="48" t="n">
        <v>0</v>
      </c>
      <c r="H131" s="48" t="n">
        <v>0</v>
      </c>
      <c r="I131" s="48" t="n">
        <v>9</v>
      </c>
      <c r="J131" s="48" t="n">
        <v>16</v>
      </c>
    </row>
    <row r="132" customFormat="false" ht="15" hidden="false" customHeight="false" outlineLevel="0" collapsed="false">
      <c r="A132" s="49" t="s">
        <v>124</v>
      </c>
      <c r="B132" s="49" t="n">
        <v>439</v>
      </c>
      <c r="C132" s="49" t="s">
        <v>97</v>
      </c>
      <c r="D132" s="49" t="s">
        <v>126</v>
      </c>
      <c r="E132" s="50" t="n">
        <v>8</v>
      </c>
      <c r="F132" s="50" t="n">
        <v>0</v>
      </c>
      <c r="G132" s="50" t="n">
        <v>0</v>
      </c>
      <c r="H132" s="50" t="n">
        <v>0</v>
      </c>
      <c r="I132" s="50" t="n">
        <v>18</v>
      </c>
      <c r="J132" s="50" t="n">
        <v>8</v>
      </c>
    </row>
    <row r="133" customFormat="false" ht="15" hidden="false" customHeight="false" outlineLevel="0" collapsed="false">
      <c r="A133" s="47" t="s">
        <v>124</v>
      </c>
      <c r="B133" s="47" t="n">
        <v>8</v>
      </c>
      <c r="C133" s="47" t="s">
        <v>97</v>
      </c>
      <c r="D133" s="47" t="s">
        <v>107</v>
      </c>
      <c r="E133" s="48" t="n">
        <v>26</v>
      </c>
      <c r="F133" s="48" t="n">
        <v>7</v>
      </c>
      <c r="G133" s="48" t="n">
        <v>0</v>
      </c>
      <c r="H133" s="48" t="n">
        <v>0</v>
      </c>
      <c r="I133" s="48" t="n">
        <v>0</v>
      </c>
      <c r="J133" s="48" t="n">
        <v>26</v>
      </c>
    </row>
    <row r="134" customFormat="false" ht="15" hidden="false" customHeight="false" outlineLevel="0" collapsed="false">
      <c r="A134" s="49" t="s">
        <v>124</v>
      </c>
      <c r="B134" s="49" t="n">
        <v>9</v>
      </c>
      <c r="C134" s="49" t="s">
        <v>97</v>
      </c>
      <c r="D134" s="49" t="s">
        <v>98</v>
      </c>
      <c r="E134" s="50" t="n">
        <v>25</v>
      </c>
      <c r="F134" s="50" t="n">
        <v>3</v>
      </c>
      <c r="G134" s="50" t="n">
        <v>0</v>
      </c>
      <c r="H134" s="50" t="n">
        <v>0</v>
      </c>
      <c r="I134" s="50" t="n">
        <v>0</v>
      </c>
      <c r="J134" s="50" t="n">
        <v>25</v>
      </c>
    </row>
    <row r="135" customFormat="false" ht="15" hidden="false" customHeight="false" outlineLevel="0" collapsed="false">
      <c r="A135" s="47" t="s">
        <v>124</v>
      </c>
      <c r="B135" s="47" t="n">
        <v>98</v>
      </c>
      <c r="C135" s="47" t="s">
        <v>97</v>
      </c>
      <c r="D135" s="47" t="s">
        <v>108</v>
      </c>
      <c r="E135" s="48" t="n">
        <v>26</v>
      </c>
      <c r="F135" s="48" t="n">
        <v>11</v>
      </c>
      <c r="G135" s="48" t="n">
        <v>0</v>
      </c>
      <c r="H135" s="48" t="n">
        <v>0</v>
      </c>
      <c r="I135" s="48" t="n">
        <v>0</v>
      </c>
      <c r="J135" s="48" t="n">
        <v>26</v>
      </c>
    </row>
    <row r="136" customFormat="false" ht="15" hidden="false" customHeight="false" outlineLevel="0" collapsed="false">
      <c r="A136" s="49" t="s">
        <v>127</v>
      </c>
      <c r="B136" s="49"/>
      <c r="C136" s="49" t="s">
        <v>100</v>
      </c>
      <c r="D136" s="49" t="s">
        <v>128</v>
      </c>
      <c r="E136" s="50" t="n">
        <v>8</v>
      </c>
      <c r="F136" s="50" t="n">
        <v>6</v>
      </c>
      <c r="G136" s="50" t="n">
        <v>7</v>
      </c>
      <c r="H136" s="50" t="n">
        <v>0</v>
      </c>
      <c r="I136" s="50" t="n">
        <v>14</v>
      </c>
      <c r="J136" s="50" t="n">
        <v>8</v>
      </c>
    </row>
    <row r="137" customFormat="false" ht="15" hidden="false" customHeight="false" outlineLevel="0" collapsed="false">
      <c r="A137" s="51" t="s">
        <v>127</v>
      </c>
      <c r="B137" s="51" t="n">
        <v>245</v>
      </c>
      <c r="C137" s="51" t="s">
        <v>100</v>
      </c>
      <c r="D137" s="51" t="s">
        <v>101</v>
      </c>
      <c r="E137" s="52" t="n">
        <v>0</v>
      </c>
      <c r="F137" s="52" t="n">
        <v>0</v>
      </c>
      <c r="G137" s="52" t="n">
        <v>17</v>
      </c>
      <c r="H137" s="52" t="n">
        <v>0</v>
      </c>
      <c r="I137" s="52" t="n">
        <v>14</v>
      </c>
      <c r="J137" s="52" t="n">
        <v>0</v>
      </c>
    </row>
    <row r="138" customFormat="false" ht="15" hidden="false" customHeight="false" outlineLevel="0" collapsed="false">
      <c r="A138" s="49" t="s">
        <v>127</v>
      </c>
      <c r="B138" s="49" t="n">
        <v>285</v>
      </c>
      <c r="C138" s="49" t="s">
        <v>97</v>
      </c>
      <c r="D138" s="49" t="s">
        <v>102</v>
      </c>
      <c r="E138" s="50" t="n">
        <v>27</v>
      </c>
      <c r="F138" s="50" t="n">
        <v>2</v>
      </c>
      <c r="G138" s="50" t="n">
        <v>0</v>
      </c>
      <c r="H138" s="50" t="n">
        <v>0</v>
      </c>
      <c r="I138" s="50" t="n">
        <v>0</v>
      </c>
      <c r="J138" s="50" t="n">
        <v>27</v>
      </c>
    </row>
    <row r="139" customFormat="false" ht="15" hidden="false" customHeight="false" outlineLevel="0" collapsed="false">
      <c r="A139" s="53" t="s">
        <v>127</v>
      </c>
      <c r="B139" s="53" t="n">
        <v>321</v>
      </c>
      <c r="C139" s="53" t="s">
        <v>104</v>
      </c>
      <c r="D139" s="53" t="s">
        <v>105</v>
      </c>
      <c r="E139" s="54" t="n">
        <v>27</v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27</v>
      </c>
    </row>
    <row r="140" customFormat="false" ht="15" hidden="false" customHeight="false" outlineLevel="0" collapsed="false">
      <c r="A140" s="49" t="s">
        <v>127</v>
      </c>
      <c r="B140" s="49" t="n">
        <v>427</v>
      </c>
      <c r="C140" s="49" t="s">
        <v>100</v>
      </c>
      <c r="D140" s="49" t="s">
        <v>119</v>
      </c>
      <c r="E140" s="50" t="n">
        <v>22</v>
      </c>
      <c r="F140" s="50" t="n">
        <v>20</v>
      </c>
      <c r="G140" s="50" t="n">
        <v>9</v>
      </c>
      <c r="H140" s="50" t="n">
        <v>0</v>
      </c>
      <c r="I140" s="50" t="n">
        <v>0</v>
      </c>
      <c r="J140" s="50" t="n">
        <v>22</v>
      </c>
    </row>
    <row r="141" customFormat="false" ht="15" hidden="false" customHeight="false" outlineLevel="0" collapsed="false">
      <c r="A141" s="47" t="s">
        <v>127</v>
      </c>
      <c r="B141" s="47" t="n">
        <v>429</v>
      </c>
      <c r="C141" s="47" t="s">
        <v>97</v>
      </c>
      <c r="D141" s="47" t="s">
        <v>125</v>
      </c>
      <c r="E141" s="48" t="n">
        <v>26</v>
      </c>
      <c r="F141" s="48" t="n">
        <v>0</v>
      </c>
      <c r="G141" s="48" t="n">
        <v>0</v>
      </c>
      <c r="H141" s="48" t="n">
        <v>0</v>
      </c>
      <c r="I141" s="48" t="n">
        <v>0</v>
      </c>
      <c r="J141" s="48" t="n">
        <v>26</v>
      </c>
    </row>
    <row r="142" customFormat="false" ht="15" hidden="false" customHeight="false" outlineLevel="0" collapsed="false">
      <c r="A142" s="49" t="s">
        <v>127</v>
      </c>
      <c r="B142" s="49" t="n">
        <v>439</v>
      </c>
      <c r="C142" s="49" t="s">
        <v>97</v>
      </c>
      <c r="D142" s="49" t="s">
        <v>126</v>
      </c>
      <c r="E142" s="50" t="n">
        <v>26</v>
      </c>
      <c r="F142" s="50" t="n">
        <v>1</v>
      </c>
      <c r="G142" s="50" t="n">
        <v>0</v>
      </c>
      <c r="H142" s="50" t="n">
        <v>0</v>
      </c>
      <c r="I142" s="50" t="n">
        <v>0</v>
      </c>
      <c r="J142" s="50" t="n">
        <v>26</v>
      </c>
    </row>
    <row r="143" customFormat="false" ht="15" hidden="false" customHeight="false" outlineLevel="0" collapsed="false">
      <c r="A143" s="47" t="s">
        <v>127</v>
      </c>
      <c r="B143" s="47" t="n">
        <v>8</v>
      </c>
      <c r="C143" s="47" t="s">
        <v>97</v>
      </c>
      <c r="D143" s="47" t="s">
        <v>107</v>
      </c>
      <c r="E143" s="48" t="n">
        <v>26</v>
      </c>
      <c r="F143" s="48" t="n">
        <v>0</v>
      </c>
      <c r="G143" s="48" t="n">
        <v>0</v>
      </c>
      <c r="H143" s="48" t="n">
        <v>0</v>
      </c>
      <c r="I143" s="48" t="n">
        <v>0</v>
      </c>
      <c r="J143" s="48" t="n">
        <v>26</v>
      </c>
    </row>
    <row r="144" customFormat="false" ht="15" hidden="false" customHeight="false" outlineLevel="0" collapsed="false">
      <c r="A144" s="49" t="s">
        <v>127</v>
      </c>
      <c r="B144" s="49" t="n">
        <v>9</v>
      </c>
      <c r="C144" s="49" t="s">
        <v>97</v>
      </c>
      <c r="D144" s="49" t="s">
        <v>98</v>
      </c>
      <c r="E144" s="50" t="n">
        <v>24</v>
      </c>
      <c r="F144" s="50" t="n">
        <v>0</v>
      </c>
      <c r="G144" s="50" t="n">
        <v>2</v>
      </c>
      <c r="H144" s="50" t="n">
        <v>0</v>
      </c>
      <c r="I144" s="50" t="n">
        <v>0</v>
      </c>
      <c r="J144" s="50" t="n">
        <v>24</v>
      </c>
    </row>
    <row r="145" customFormat="false" ht="15" hidden="false" customHeight="false" outlineLevel="0" collapsed="false">
      <c r="A145" s="47" t="s">
        <v>127</v>
      </c>
      <c r="B145" s="47" t="n">
        <v>98</v>
      </c>
      <c r="C145" s="47" t="s">
        <v>97</v>
      </c>
      <c r="D145" s="47" t="s">
        <v>108</v>
      </c>
      <c r="E145" s="48" t="n">
        <v>26</v>
      </c>
      <c r="F145" s="48" t="n">
        <v>1</v>
      </c>
      <c r="G145" s="48" t="n">
        <v>0</v>
      </c>
      <c r="H145" s="48" t="n">
        <v>0</v>
      </c>
      <c r="I145" s="48" t="n">
        <v>0</v>
      </c>
      <c r="J145" s="48" t="n">
        <v>26</v>
      </c>
    </row>
    <row r="146" customFormat="false" ht="15" hidden="false" customHeight="false" outlineLevel="0" collapsed="false">
      <c r="A146" s="49" t="s">
        <v>129</v>
      </c>
      <c r="B146" s="49"/>
      <c r="C146" s="49" t="s">
        <v>100</v>
      </c>
      <c r="D146" s="49" t="s">
        <v>128</v>
      </c>
      <c r="E146" s="50" t="n">
        <v>16</v>
      </c>
      <c r="F146" s="50" t="n">
        <v>14</v>
      </c>
      <c r="G146" s="50" t="n">
        <v>0</v>
      </c>
      <c r="H146" s="50" t="n">
        <v>0</v>
      </c>
      <c r="I146" s="50" t="n">
        <v>15</v>
      </c>
      <c r="J146" s="50" t="n">
        <v>16</v>
      </c>
    </row>
    <row r="147" customFormat="false" ht="15" hidden="false" customHeight="false" outlineLevel="0" collapsed="false">
      <c r="A147" s="47" t="s">
        <v>129</v>
      </c>
      <c r="B147" s="47" t="n">
        <v>285</v>
      </c>
      <c r="C147" s="47" t="s">
        <v>97</v>
      </c>
      <c r="D147" s="47" t="s">
        <v>102</v>
      </c>
      <c r="E147" s="48" t="n">
        <v>26</v>
      </c>
      <c r="F147" s="48" t="n">
        <v>6</v>
      </c>
      <c r="G147" s="48" t="n">
        <v>0</v>
      </c>
      <c r="H147" s="48" t="n">
        <v>0</v>
      </c>
      <c r="I147" s="48" t="n">
        <v>0</v>
      </c>
      <c r="J147" s="48" t="n">
        <v>26</v>
      </c>
    </row>
    <row r="148" customFormat="false" ht="15" hidden="false" customHeight="false" outlineLevel="0" collapsed="false">
      <c r="A148" s="49" t="s">
        <v>129</v>
      </c>
      <c r="B148" s="49" t="n">
        <v>321</v>
      </c>
      <c r="C148" s="49" t="s">
        <v>104</v>
      </c>
      <c r="D148" s="49" t="s">
        <v>105</v>
      </c>
      <c r="E148" s="50" t="n">
        <v>27</v>
      </c>
      <c r="F148" s="50" t="n">
        <v>0</v>
      </c>
      <c r="G148" s="50" t="n">
        <v>0</v>
      </c>
      <c r="H148" s="50" t="n">
        <v>0</v>
      </c>
      <c r="I148" s="50" t="n">
        <v>0</v>
      </c>
      <c r="J148" s="50" t="n">
        <v>27</v>
      </c>
    </row>
    <row r="149" customFormat="false" ht="15" hidden="false" customHeight="false" outlineLevel="0" collapsed="false">
      <c r="A149" s="51" t="s">
        <v>129</v>
      </c>
      <c r="B149" s="51" t="n">
        <v>427</v>
      </c>
      <c r="C149" s="51" t="s">
        <v>100</v>
      </c>
      <c r="D149" s="51" t="s">
        <v>119</v>
      </c>
      <c r="E149" s="52" t="n">
        <v>15</v>
      </c>
      <c r="F149" s="52" t="n">
        <v>14</v>
      </c>
      <c r="G149" s="52" t="n">
        <v>0</v>
      </c>
      <c r="H149" s="52" t="n">
        <v>0</v>
      </c>
      <c r="I149" s="52" t="n">
        <v>16</v>
      </c>
      <c r="J149" s="52" t="n">
        <v>15</v>
      </c>
    </row>
    <row r="150" customFormat="false" ht="15" hidden="false" customHeight="false" outlineLevel="0" collapsed="false">
      <c r="A150" s="49" t="s">
        <v>129</v>
      </c>
      <c r="B150" s="49" t="n">
        <v>429</v>
      </c>
      <c r="C150" s="49" t="s">
        <v>97</v>
      </c>
      <c r="D150" s="49" t="s">
        <v>125</v>
      </c>
      <c r="E150" s="50" t="n">
        <v>0</v>
      </c>
      <c r="F150" s="50" t="n">
        <v>0</v>
      </c>
      <c r="G150" s="50" t="n">
        <v>0</v>
      </c>
      <c r="H150" s="50" t="n">
        <v>0</v>
      </c>
      <c r="I150" s="50" t="n">
        <v>27</v>
      </c>
      <c r="J150" s="50" t="n">
        <v>0</v>
      </c>
    </row>
    <row r="151" customFormat="false" ht="15" hidden="false" customHeight="false" outlineLevel="0" collapsed="false">
      <c r="A151" s="47" t="s">
        <v>129</v>
      </c>
      <c r="B151" s="47" t="n">
        <v>439</v>
      </c>
      <c r="C151" s="47" t="s">
        <v>97</v>
      </c>
      <c r="D151" s="47" t="s">
        <v>126</v>
      </c>
      <c r="E151" s="48" t="n">
        <v>26</v>
      </c>
      <c r="F151" s="48" t="n">
        <v>6</v>
      </c>
      <c r="G151" s="48" t="n">
        <v>0</v>
      </c>
      <c r="H151" s="48" t="n">
        <v>0</v>
      </c>
      <c r="I151" s="48" t="n">
        <v>0</v>
      </c>
      <c r="J151" s="48" t="n">
        <v>26</v>
      </c>
    </row>
    <row r="152" customFormat="false" ht="15" hidden="false" customHeight="false" outlineLevel="0" collapsed="false">
      <c r="A152" s="49" t="s">
        <v>129</v>
      </c>
      <c r="B152" s="49" t="n">
        <v>8</v>
      </c>
      <c r="C152" s="49" t="s">
        <v>97</v>
      </c>
      <c r="D152" s="49" t="s">
        <v>107</v>
      </c>
      <c r="E152" s="50" t="n">
        <v>25</v>
      </c>
      <c r="F152" s="50" t="n">
        <v>5</v>
      </c>
      <c r="G152" s="50" t="n">
        <v>2</v>
      </c>
      <c r="H152" s="50" t="n">
        <v>0</v>
      </c>
      <c r="I152" s="50" t="n">
        <v>0</v>
      </c>
      <c r="J152" s="50" t="n">
        <v>25</v>
      </c>
    </row>
    <row r="153" customFormat="false" ht="15" hidden="false" customHeight="false" outlineLevel="0" collapsed="false">
      <c r="A153" s="47" t="s">
        <v>129</v>
      </c>
      <c r="B153" s="47" t="n">
        <v>9</v>
      </c>
      <c r="C153" s="47" t="s">
        <v>97</v>
      </c>
      <c r="D153" s="47" t="s">
        <v>98</v>
      </c>
      <c r="E153" s="48" t="n">
        <v>27</v>
      </c>
      <c r="F153" s="48" t="n">
        <v>6</v>
      </c>
      <c r="G153" s="48" t="n">
        <v>0</v>
      </c>
      <c r="H153" s="48" t="n">
        <v>0</v>
      </c>
      <c r="I153" s="48" t="n">
        <v>0</v>
      </c>
      <c r="J153" s="48" t="n">
        <v>27</v>
      </c>
    </row>
    <row r="154" customFormat="false" ht="15" hidden="false" customHeight="false" outlineLevel="0" collapsed="false">
      <c r="A154" s="49" t="s">
        <v>130</v>
      </c>
      <c r="B154" s="49"/>
      <c r="C154" s="49" t="s">
        <v>100</v>
      </c>
      <c r="D154" s="49" t="s">
        <v>128</v>
      </c>
      <c r="E154" s="50" t="n">
        <v>14</v>
      </c>
      <c r="F154" s="50" t="n">
        <v>14</v>
      </c>
      <c r="G154" s="50" t="n">
        <v>0</v>
      </c>
      <c r="H154" s="50" t="n">
        <v>0</v>
      </c>
      <c r="I154" s="50" t="n">
        <v>16</v>
      </c>
      <c r="J154" s="50" t="n">
        <v>14</v>
      </c>
    </row>
    <row r="155" customFormat="false" ht="15" hidden="false" customHeight="false" outlineLevel="0" collapsed="false">
      <c r="A155" s="47" t="s">
        <v>130</v>
      </c>
      <c r="B155" s="47" t="n">
        <v>285</v>
      </c>
      <c r="C155" s="47" t="s">
        <v>97</v>
      </c>
      <c r="D155" s="47" t="s">
        <v>102</v>
      </c>
      <c r="E155" s="48" t="n">
        <v>26</v>
      </c>
      <c r="F155" s="48" t="n">
        <v>5</v>
      </c>
      <c r="G155" s="48" t="n">
        <v>0</v>
      </c>
      <c r="H155" s="48" t="n">
        <v>0</v>
      </c>
      <c r="I155" s="48" t="n">
        <v>0</v>
      </c>
      <c r="J155" s="48" t="n">
        <v>26</v>
      </c>
    </row>
    <row r="156" customFormat="false" ht="15" hidden="false" customHeight="false" outlineLevel="0" collapsed="false">
      <c r="A156" s="49" t="s">
        <v>130</v>
      </c>
      <c r="B156" s="49" t="n">
        <v>321</v>
      </c>
      <c r="C156" s="49" t="s">
        <v>104</v>
      </c>
      <c r="D156" s="49" t="s">
        <v>105</v>
      </c>
      <c r="E156" s="50" t="n">
        <v>25</v>
      </c>
      <c r="F156" s="50" t="n">
        <v>0</v>
      </c>
      <c r="G156" s="50" t="n">
        <v>0</v>
      </c>
      <c r="H156" s="50" t="n">
        <v>0</v>
      </c>
      <c r="I156" s="50" t="n">
        <v>0</v>
      </c>
      <c r="J156" s="50" t="n">
        <v>25</v>
      </c>
    </row>
    <row r="157" customFormat="false" ht="15" hidden="false" customHeight="false" outlineLevel="0" collapsed="false">
      <c r="A157" s="51" t="s">
        <v>130</v>
      </c>
      <c r="B157" s="51" t="n">
        <v>427</v>
      </c>
      <c r="C157" s="51" t="s">
        <v>100</v>
      </c>
      <c r="D157" s="51" t="s">
        <v>119</v>
      </c>
      <c r="E157" s="52" t="n">
        <v>16</v>
      </c>
      <c r="F157" s="52" t="n">
        <v>14</v>
      </c>
      <c r="G157" s="52" t="n">
        <v>0</v>
      </c>
      <c r="H157" s="52" t="n">
        <v>0</v>
      </c>
      <c r="I157" s="52" t="n">
        <v>13</v>
      </c>
      <c r="J157" s="52" t="n">
        <v>16</v>
      </c>
    </row>
    <row r="158" customFormat="false" ht="15" hidden="false" customHeight="false" outlineLevel="0" collapsed="false">
      <c r="A158" s="49" t="s">
        <v>130</v>
      </c>
      <c r="B158" s="49" t="n">
        <v>429</v>
      </c>
      <c r="C158" s="49" t="s">
        <v>97</v>
      </c>
      <c r="D158" s="49" t="s">
        <v>125</v>
      </c>
      <c r="E158" s="50" t="n">
        <v>0</v>
      </c>
      <c r="F158" s="50" t="n">
        <v>0</v>
      </c>
      <c r="G158" s="50" t="n">
        <v>0</v>
      </c>
      <c r="H158" s="50" t="n">
        <v>0</v>
      </c>
      <c r="I158" s="50" t="n">
        <v>25</v>
      </c>
      <c r="J158" s="50" t="n">
        <v>0</v>
      </c>
    </row>
    <row r="159" customFormat="false" ht="15" hidden="false" customHeight="false" outlineLevel="0" collapsed="false">
      <c r="A159" s="47" t="s">
        <v>130</v>
      </c>
      <c r="B159" s="47" t="n">
        <v>439</v>
      </c>
      <c r="C159" s="47" t="s">
        <v>97</v>
      </c>
      <c r="D159" s="47" t="s">
        <v>126</v>
      </c>
      <c r="E159" s="48" t="n">
        <v>25</v>
      </c>
      <c r="F159" s="48" t="n">
        <v>7</v>
      </c>
      <c r="G159" s="48" t="n">
        <v>0</v>
      </c>
      <c r="H159" s="48" t="n">
        <v>0</v>
      </c>
      <c r="I159" s="48" t="n">
        <v>0</v>
      </c>
      <c r="J159" s="48" t="n">
        <v>25</v>
      </c>
    </row>
    <row r="160" customFormat="false" ht="15" hidden="false" customHeight="false" outlineLevel="0" collapsed="false">
      <c r="A160" s="49" t="s">
        <v>130</v>
      </c>
      <c r="B160" s="49" t="n">
        <v>8</v>
      </c>
      <c r="C160" s="49" t="s">
        <v>97</v>
      </c>
      <c r="D160" s="49" t="s">
        <v>107</v>
      </c>
      <c r="E160" s="50" t="n">
        <v>24</v>
      </c>
      <c r="F160" s="50" t="n">
        <v>4</v>
      </c>
      <c r="G160" s="50" t="n">
        <v>2</v>
      </c>
      <c r="H160" s="50" t="n">
        <v>0</v>
      </c>
      <c r="I160" s="50" t="n">
        <v>0</v>
      </c>
      <c r="J160" s="50" t="n">
        <v>24</v>
      </c>
    </row>
    <row r="161" customFormat="false" ht="15" hidden="false" customHeight="false" outlineLevel="0" collapsed="false">
      <c r="A161" s="47" t="s">
        <v>130</v>
      </c>
      <c r="B161" s="47" t="n">
        <v>9</v>
      </c>
      <c r="C161" s="47" t="s">
        <v>97</v>
      </c>
      <c r="D161" s="47" t="s">
        <v>98</v>
      </c>
      <c r="E161" s="48" t="n">
        <v>25</v>
      </c>
      <c r="F161" s="48" t="n">
        <v>4</v>
      </c>
      <c r="G161" s="48" t="n">
        <v>0</v>
      </c>
      <c r="H161" s="48" t="n">
        <v>0</v>
      </c>
      <c r="I161" s="48" t="n">
        <v>0</v>
      </c>
      <c r="J161" s="48" t="n">
        <v>25</v>
      </c>
    </row>
    <row r="162" customFormat="false" ht="15" hidden="false" customHeight="false" outlineLevel="0" collapsed="false">
      <c r="A162" s="49" t="s">
        <v>131</v>
      </c>
      <c r="B162" s="49"/>
      <c r="C162" s="49" t="s">
        <v>100</v>
      </c>
      <c r="D162" s="49" t="s">
        <v>128</v>
      </c>
      <c r="E162" s="50" t="n">
        <v>16</v>
      </c>
      <c r="F162" s="50" t="n">
        <v>15</v>
      </c>
      <c r="G162" s="50" t="n">
        <v>0</v>
      </c>
      <c r="H162" s="50" t="n">
        <v>0</v>
      </c>
      <c r="I162" s="50" t="n">
        <v>14</v>
      </c>
      <c r="J162" s="50" t="n">
        <v>16</v>
      </c>
    </row>
    <row r="163" customFormat="false" ht="15" hidden="false" customHeight="false" outlineLevel="0" collapsed="false">
      <c r="A163" s="47" t="s">
        <v>131</v>
      </c>
      <c r="B163" s="47" t="n">
        <v>285</v>
      </c>
      <c r="C163" s="47" t="s">
        <v>97</v>
      </c>
      <c r="D163" s="47" t="s">
        <v>102</v>
      </c>
      <c r="E163" s="48" t="n">
        <v>25</v>
      </c>
      <c r="F163" s="48" t="n">
        <v>9</v>
      </c>
      <c r="G163" s="48" t="n">
        <v>1</v>
      </c>
      <c r="H163" s="48" t="n">
        <v>5</v>
      </c>
      <c r="I163" s="48" t="n">
        <v>0</v>
      </c>
      <c r="J163" s="48" t="n">
        <v>25</v>
      </c>
    </row>
    <row r="164" customFormat="false" ht="15" hidden="false" customHeight="false" outlineLevel="0" collapsed="false">
      <c r="A164" s="49" t="s">
        <v>131</v>
      </c>
      <c r="B164" s="49" t="n">
        <v>321</v>
      </c>
      <c r="C164" s="49" t="s">
        <v>104</v>
      </c>
      <c r="D164" s="49" t="s">
        <v>105</v>
      </c>
      <c r="E164" s="50" t="n">
        <v>27</v>
      </c>
      <c r="F164" s="50" t="n">
        <v>0</v>
      </c>
      <c r="G164" s="50" t="n">
        <v>0</v>
      </c>
      <c r="H164" s="50" t="n">
        <v>4</v>
      </c>
      <c r="I164" s="50" t="n">
        <v>0</v>
      </c>
      <c r="J164" s="50" t="n">
        <v>27</v>
      </c>
    </row>
    <row r="165" customFormat="false" ht="15" hidden="false" customHeight="false" outlineLevel="0" collapsed="false">
      <c r="A165" s="51" t="s">
        <v>131</v>
      </c>
      <c r="B165" s="51" t="n">
        <v>427</v>
      </c>
      <c r="C165" s="51" t="s">
        <v>100</v>
      </c>
      <c r="D165" s="51" t="s">
        <v>119</v>
      </c>
      <c r="E165" s="52" t="n">
        <v>16</v>
      </c>
      <c r="F165" s="52" t="n">
        <v>15</v>
      </c>
      <c r="G165" s="52" t="n">
        <v>0</v>
      </c>
      <c r="H165" s="52" t="n">
        <v>0</v>
      </c>
      <c r="I165" s="52" t="n">
        <v>15</v>
      </c>
      <c r="J165" s="52" t="n">
        <v>16</v>
      </c>
    </row>
    <row r="166" customFormat="false" ht="15" hidden="false" customHeight="false" outlineLevel="0" collapsed="false">
      <c r="A166" s="49" t="s">
        <v>131</v>
      </c>
      <c r="B166" s="49" t="n">
        <v>429</v>
      </c>
      <c r="C166" s="49" t="s">
        <v>97</v>
      </c>
      <c r="D166" s="49" t="s">
        <v>125</v>
      </c>
      <c r="E166" s="50" t="n">
        <v>0</v>
      </c>
      <c r="F166" s="50" t="n">
        <v>0</v>
      </c>
      <c r="G166" s="50" t="n">
        <v>0</v>
      </c>
      <c r="H166" s="50" t="n">
        <v>4</v>
      </c>
      <c r="I166" s="50" t="n">
        <v>27</v>
      </c>
      <c r="J166" s="50" t="n">
        <v>0</v>
      </c>
    </row>
    <row r="167" customFormat="false" ht="15" hidden="false" customHeight="false" outlineLevel="0" collapsed="false">
      <c r="A167" s="47" t="s">
        <v>131</v>
      </c>
      <c r="B167" s="47" t="n">
        <v>439</v>
      </c>
      <c r="C167" s="47" t="s">
        <v>97</v>
      </c>
      <c r="D167" s="47" t="s">
        <v>126</v>
      </c>
      <c r="E167" s="48" t="n">
        <v>22</v>
      </c>
      <c r="F167" s="48" t="n">
        <v>7</v>
      </c>
      <c r="G167" s="48" t="n">
        <v>5</v>
      </c>
      <c r="H167" s="48" t="n">
        <v>4</v>
      </c>
      <c r="I167" s="48" t="n">
        <v>0</v>
      </c>
      <c r="J167" s="48" t="n">
        <v>22</v>
      </c>
    </row>
    <row r="168" customFormat="false" ht="15" hidden="false" customHeight="false" outlineLevel="0" collapsed="false">
      <c r="A168" s="49" t="s">
        <v>131</v>
      </c>
      <c r="B168" s="49" t="n">
        <v>8</v>
      </c>
      <c r="C168" s="49" t="s">
        <v>97</v>
      </c>
      <c r="D168" s="49" t="s">
        <v>107</v>
      </c>
      <c r="E168" s="50" t="n">
        <v>24</v>
      </c>
      <c r="F168" s="50" t="n">
        <v>6</v>
      </c>
      <c r="G168" s="50" t="n">
        <v>2</v>
      </c>
      <c r="H168" s="50" t="n">
        <v>5</v>
      </c>
      <c r="I168" s="50" t="n">
        <v>0</v>
      </c>
      <c r="J168" s="50" t="n">
        <v>24</v>
      </c>
    </row>
    <row r="169" customFormat="false" ht="15" hidden="false" customHeight="false" outlineLevel="0" collapsed="false">
      <c r="A169" s="47" t="s">
        <v>131</v>
      </c>
      <c r="B169" s="47" t="n">
        <v>9</v>
      </c>
      <c r="C169" s="47" t="s">
        <v>97</v>
      </c>
      <c r="D169" s="47" t="s">
        <v>98</v>
      </c>
      <c r="E169" s="48" t="n">
        <v>22</v>
      </c>
      <c r="F169" s="48" t="n">
        <v>6</v>
      </c>
      <c r="G169" s="48" t="n">
        <v>4</v>
      </c>
      <c r="H169" s="48" t="n">
        <v>4</v>
      </c>
      <c r="I169" s="48" t="n">
        <v>0</v>
      </c>
      <c r="J169" s="48" t="n">
        <v>22</v>
      </c>
    </row>
    <row r="170" customFormat="false" ht="15" hidden="false" customHeight="false" outlineLevel="0" collapsed="false">
      <c r="A170" s="49" t="s">
        <v>132</v>
      </c>
      <c r="B170" s="49"/>
      <c r="C170" s="49" t="s">
        <v>100</v>
      </c>
      <c r="D170" s="49" t="s">
        <v>128</v>
      </c>
      <c r="E170" s="50" t="n">
        <v>16</v>
      </c>
      <c r="F170" s="50" t="n">
        <v>14</v>
      </c>
      <c r="G170" s="50" t="n">
        <v>0</v>
      </c>
      <c r="H170" s="50" t="n">
        <v>0</v>
      </c>
      <c r="I170" s="50" t="n">
        <v>14</v>
      </c>
      <c r="J170" s="50" t="n">
        <v>16</v>
      </c>
    </row>
    <row r="171" customFormat="false" ht="15" hidden="false" customHeight="false" outlineLevel="0" collapsed="false">
      <c r="A171" s="47" t="s">
        <v>132</v>
      </c>
      <c r="B171" s="47" t="n">
        <v>285</v>
      </c>
      <c r="C171" s="47" t="s">
        <v>97</v>
      </c>
      <c r="D171" s="47" t="s">
        <v>102</v>
      </c>
      <c r="E171" s="48" t="n">
        <v>26</v>
      </c>
      <c r="F171" s="48" t="n">
        <v>5</v>
      </c>
      <c r="G171" s="48" t="n">
        <v>0</v>
      </c>
      <c r="H171" s="48" t="n">
        <v>4</v>
      </c>
      <c r="I171" s="48" t="n">
        <v>0</v>
      </c>
      <c r="J171" s="48" t="n">
        <v>26</v>
      </c>
    </row>
    <row r="172" customFormat="false" ht="15" hidden="false" customHeight="false" outlineLevel="0" collapsed="false">
      <c r="A172" s="49" t="s">
        <v>132</v>
      </c>
      <c r="B172" s="49" t="n">
        <v>321</v>
      </c>
      <c r="C172" s="49" t="s">
        <v>104</v>
      </c>
      <c r="D172" s="49" t="s">
        <v>105</v>
      </c>
      <c r="E172" s="50" t="n">
        <v>26</v>
      </c>
      <c r="F172" s="50" t="n">
        <v>0</v>
      </c>
      <c r="G172" s="50" t="n">
        <v>0</v>
      </c>
      <c r="H172" s="50" t="n">
        <v>4</v>
      </c>
      <c r="I172" s="50" t="n">
        <v>0</v>
      </c>
      <c r="J172" s="50" t="n">
        <v>26</v>
      </c>
    </row>
    <row r="173" customFormat="false" ht="15" hidden="false" customHeight="false" outlineLevel="0" collapsed="false">
      <c r="A173" s="51" t="s">
        <v>132</v>
      </c>
      <c r="B173" s="51" t="n">
        <v>427</v>
      </c>
      <c r="C173" s="51" t="s">
        <v>100</v>
      </c>
      <c r="D173" s="51" t="s">
        <v>119</v>
      </c>
      <c r="E173" s="52" t="n">
        <v>16</v>
      </c>
      <c r="F173" s="52" t="n">
        <v>14</v>
      </c>
      <c r="G173" s="52" t="n">
        <v>0</v>
      </c>
      <c r="H173" s="52" t="n">
        <v>0</v>
      </c>
      <c r="I173" s="52" t="n">
        <v>14</v>
      </c>
      <c r="J173" s="52" t="n">
        <v>16</v>
      </c>
    </row>
    <row r="174" customFormat="false" ht="15" hidden="false" customHeight="false" outlineLevel="0" collapsed="false">
      <c r="A174" s="49" t="s">
        <v>132</v>
      </c>
      <c r="B174" s="49" t="n">
        <v>429</v>
      </c>
      <c r="C174" s="49" t="s">
        <v>97</v>
      </c>
      <c r="D174" s="49" t="s">
        <v>125</v>
      </c>
      <c r="E174" s="50" t="n">
        <v>0</v>
      </c>
      <c r="F174" s="50" t="n">
        <v>0</v>
      </c>
      <c r="G174" s="50" t="n">
        <v>0</v>
      </c>
      <c r="H174" s="50" t="n">
        <v>4</v>
      </c>
      <c r="I174" s="50" t="n">
        <v>27</v>
      </c>
      <c r="J174" s="50" t="n">
        <v>0</v>
      </c>
    </row>
    <row r="175" customFormat="false" ht="15" hidden="false" customHeight="false" outlineLevel="0" collapsed="false">
      <c r="A175" s="47" t="s">
        <v>132</v>
      </c>
      <c r="B175" s="47" t="n">
        <v>439</v>
      </c>
      <c r="C175" s="47" t="s">
        <v>97</v>
      </c>
      <c r="D175" s="47" t="s">
        <v>126</v>
      </c>
      <c r="E175" s="48" t="n">
        <v>25</v>
      </c>
      <c r="F175" s="48" t="n">
        <v>6</v>
      </c>
      <c r="G175" s="48" t="n">
        <v>0</v>
      </c>
      <c r="H175" s="48" t="n">
        <v>5</v>
      </c>
      <c r="I175" s="48" t="n">
        <v>0</v>
      </c>
      <c r="J175" s="48" t="n">
        <v>25</v>
      </c>
    </row>
    <row r="176" customFormat="false" ht="15" hidden="false" customHeight="false" outlineLevel="0" collapsed="false">
      <c r="A176" s="49" t="s">
        <v>132</v>
      </c>
      <c r="B176" s="49" t="n">
        <v>8</v>
      </c>
      <c r="C176" s="49" t="s">
        <v>97</v>
      </c>
      <c r="D176" s="49" t="s">
        <v>107</v>
      </c>
      <c r="E176" s="50" t="n">
        <v>26</v>
      </c>
      <c r="F176" s="50" t="n">
        <v>4</v>
      </c>
      <c r="G176" s="50" t="n">
        <v>0</v>
      </c>
      <c r="H176" s="50" t="n">
        <v>4</v>
      </c>
      <c r="I176" s="50" t="n">
        <v>0</v>
      </c>
      <c r="J176" s="50" t="n">
        <v>26</v>
      </c>
    </row>
    <row r="177" customFormat="false" ht="15" hidden="false" customHeight="false" outlineLevel="0" collapsed="false">
      <c r="A177" s="47" t="s">
        <v>132</v>
      </c>
      <c r="B177" s="47" t="n">
        <v>9</v>
      </c>
      <c r="C177" s="47" t="s">
        <v>97</v>
      </c>
      <c r="D177" s="47" t="s">
        <v>98</v>
      </c>
      <c r="E177" s="48" t="n">
        <v>25</v>
      </c>
      <c r="F177" s="48" t="n">
        <v>5</v>
      </c>
      <c r="G177" s="48" t="n">
        <v>1</v>
      </c>
      <c r="H177" s="48" t="n">
        <v>4</v>
      </c>
      <c r="I177" s="48" t="n">
        <v>0</v>
      </c>
      <c r="J177" s="48" t="n">
        <v>25</v>
      </c>
    </row>
    <row r="178" customFormat="false" ht="15" hidden="false" customHeight="false" outlineLevel="0" collapsed="false">
      <c r="A178" s="49" t="s">
        <v>132</v>
      </c>
      <c r="B178" s="49" t="n">
        <v>98</v>
      </c>
      <c r="C178" s="49" t="s">
        <v>97</v>
      </c>
      <c r="D178" s="49" t="s">
        <v>108</v>
      </c>
      <c r="E178" s="50" t="n">
        <v>26</v>
      </c>
      <c r="F178" s="50" t="n">
        <v>7</v>
      </c>
      <c r="G178" s="50" t="n">
        <v>0</v>
      </c>
      <c r="H178" s="50" t="n">
        <v>4</v>
      </c>
      <c r="I178" s="50" t="n">
        <v>0</v>
      </c>
      <c r="J178" s="50" t="n">
        <v>26</v>
      </c>
    </row>
    <row r="179" customFormat="false" ht="15" hidden="false" customHeight="false" outlineLevel="0" collapsed="false">
      <c r="A179" s="47" t="s">
        <v>133</v>
      </c>
      <c r="B179" s="47"/>
      <c r="C179" s="47" t="s">
        <v>97</v>
      </c>
      <c r="D179" s="47" t="s">
        <v>134</v>
      </c>
      <c r="E179" s="48" t="n">
        <v>13</v>
      </c>
      <c r="F179" s="48" t="n">
        <v>0</v>
      </c>
      <c r="G179" s="48" t="n">
        <v>0</v>
      </c>
      <c r="H179" s="48" t="n">
        <v>4</v>
      </c>
      <c r="I179" s="48" t="n">
        <v>11</v>
      </c>
      <c r="J179" s="48" t="n">
        <v>13</v>
      </c>
    </row>
    <row r="180" customFormat="false" ht="15" hidden="false" customHeight="false" outlineLevel="0" collapsed="false">
      <c r="A180" s="49" t="s">
        <v>133</v>
      </c>
      <c r="B180" s="49"/>
      <c r="C180" s="49" t="s">
        <v>100</v>
      </c>
      <c r="D180" s="49" t="s">
        <v>128</v>
      </c>
      <c r="E180" s="50" t="n">
        <v>16</v>
      </c>
      <c r="F180" s="50" t="n">
        <v>15</v>
      </c>
      <c r="G180" s="50" t="n">
        <v>0</v>
      </c>
      <c r="H180" s="50" t="n">
        <v>0</v>
      </c>
      <c r="I180" s="50" t="n">
        <v>15</v>
      </c>
      <c r="J180" s="50" t="n">
        <v>16</v>
      </c>
    </row>
    <row r="181" customFormat="false" ht="15" hidden="false" customHeight="false" outlineLevel="0" collapsed="false">
      <c r="A181" s="47" t="s">
        <v>133</v>
      </c>
      <c r="B181" s="47" t="n">
        <v>285</v>
      </c>
      <c r="C181" s="47" t="s">
        <v>97</v>
      </c>
      <c r="D181" s="47" t="s">
        <v>102</v>
      </c>
      <c r="E181" s="48" t="n">
        <v>27</v>
      </c>
      <c r="F181" s="48" t="n">
        <v>2</v>
      </c>
      <c r="G181" s="48" t="n">
        <v>0</v>
      </c>
      <c r="H181" s="48" t="n">
        <v>4</v>
      </c>
      <c r="I181" s="48" t="n">
        <v>0</v>
      </c>
      <c r="J181" s="48" t="n">
        <v>27</v>
      </c>
    </row>
    <row r="182" customFormat="false" ht="15" hidden="false" customHeight="false" outlineLevel="0" collapsed="false">
      <c r="A182" s="49" t="s">
        <v>133</v>
      </c>
      <c r="B182" s="49" t="n">
        <v>321</v>
      </c>
      <c r="C182" s="49" t="s">
        <v>104</v>
      </c>
      <c r="D182" s="49" t="s">
        <v>105</v>
      </c>
      <c r="E182" s="50" t="n">
        <v>26</v>
      </c>
      <c r="F182" s="50" t="n">
        <v>0</v>
      </c>
      <c r="G182" s="50" t="n">
        <v>0</v>
      </c>
      <c r="H182" s="50" t="n">
        <v>5</v>
      </c>
      <c r="I182" s="50" t="n">
        <v>0</v>
      </c>
      <c r="J182" s="50" t="n">
        <v>26</v>
      </c>
    </row>
    <row r="183" customFormat="false" ht="15" hidden="false" customHeight="false" outlineLevel="0" collapsed="false">
      <c r="A183" s="51" t="s">
        <v>133</v>
      </c>
      <c r="B183" s="51" t="n">
        <v>427</v>
      </c>
      <c r="C183" s="51" t="s">
        <v>100</v>
      </c>
      <c r="D183" s="51" t="s">
        <v>119</v>
      </c>
      <c r="E183" s="52" t="n">
        <v>16</v>
      </c>
      <c r="F183" s="52" t="n">
        <v>15</v>
      </c>
      <c r="G183" s="52" t="n">
        <v>0</v>
      </c>
      <c r="H183" s="52" t="n">
        <v>0</v>
      </c>
      <c r="I183" s="52" t="n">
        <v>15</v>
      </c>
      <c r="J183" s="52" t="n">
        <v>16</v>
      </c>
    </row>
    <row r="184" customFormat="false" ht="15" hidden="false" customHeight="false" outlineLevel="0" collapsed="false">
      <c r="A184" s="49" t="s">
        <v>133</v>
      </c>
      <c r="B184" s="49" t="n">
        <v>439</v>
      </c>
      <c r="C184" s="49" t="s">
        <v>97</v>
      </c>
      <c r="D184" s="49" t="s">
        <v>126</v>
      </c>
      <c r="E184" s="50" t="n">
        <v>27</v>
      </c>
      <c r="F184" s="50" t="n">
        <v>3</v>
      </c>
      <c r="G184" s="50" t="n">
        <v>0</v>
      </c>
      <c r="H184" s="50" t="n">
        <v>4</v>
      </c>
      <c r="I184" s="50" t="n">
        <v>0</v>
      </c>
      <c r="J184" s="50" t="n">
        <v>27</v>
      </c>
    </row>
    <row r="185" customFormat="false" ht="15" hidden="false" customHeight="false" outlineLevel="0" collapsed="false">
      <c r="A185" s="47" t="s">
        <v>133</v>
      </c>
      <c r="B185" s="47" t="n">
        <v>8</v>
      </c>
      <c r="C185" s="47" t="s">
        <v>97</v>
      </c>
      <c r="D185" s="47" t="s">
        <v>107</v>
      </c>
      <c r="E185" s="48" t="n">
        <v>26</v>
      </c>
      <c r="F185" s="48" t="n">
        <v>3</v>
      </c>
      <c r="G185" s="48" t="n">
        <v>0</v>
      </c>
      <c r="H185" s="48" t="n">
        <v>5</v>
      </c>
      <c r="I185" s="48" t="n">
        <v>0</v>
      </c>
      <c r="J185" s="48" t="n">
        <v>26</v>
      </c>
    </row>
    <row r="186" customFormat="false" ht="15" hidden="false" customHeight="false" outlineLevel="0" collapsed="false">
      <c r="A186" s="49" t="s">
        <v>133</v>
      </c>
      <c r="B186" s="49" t="n">
        <v>9</v>
      </c>
      <c r="C186" s="49" t="s">
        <v>97</v>
      </c>
      <c r="D186" s="49" t="s">
        <v>98</v>
      </c>
      <c r="E186" s="50" t="n">
        <v>26</v>
      </c>
      <c r="F186" s="50" t="n">
        <v>3</v>
      </c>
      <c r="G186" s="50" t="n">
        <v>0</v>
      </c>
      <c r="H186" s="50" t="n">
        <v>5</v>
      </c>
      <c r="I186" s="50" t="n">
        <v>0</v>
      </c>
      <c r="J186" s="50" t="n">
        <v>26</v>
      </c>
    </row>
    <row r="187" customFormat="false" ht="15" hidden="false" customHeight="false" outlineLevel="0" collapsed="false">
      <c r="A187" s="47" t="s">
        <v>133</v>
      </c>
      <c r="B187" s="47" t="n">
        <v>98</v>
      </c>
      <c r="C187" s="47" t="s">
        <v>97</v>
      </c>
      <c r="D187" s="47" t="s">
        <v>108</v>
      </c>
      <c r="E187" s="48" t="n">
        <v>26</v>
      </c>
      <c r="F187" s="48" t="n">
        <v>3</v>
      </c>
      <c r="G187" s="48" t="n">
        <v>1</v>
      </c>
      <c r="H187" s="48" t="n">
        <v>4</v>
      </c>
      <c r="I187" s="48" t="n">
        <v>0</v>
      </c>
      <c r="J187" s="48" t="n">
        <v>26</v>
      </c>
    </row>
    <row r="188" customFormat="false" ht="15" hidden="false" customHeight="false" outlineLevel="0" collapsed="false">
      <c r="A188" s="49" t="s">
        <v>135</v>
      </c>
      <c r="B188" s="49"/>
      <c r="C188" s="49" t="s">
        <v>100</v>
      </c>
      <c r="D188" s="49" t="s">
        <v>128</v>
      </c>
      <c r="E188" s="50" t="n">
        <v>16</v>
      </c>
      <c r="F188" s="50" t="n">
        <v>14</v>
      </c>
      <c r="G188" s="50" t="n">
        <v>0</v>
      </c>
      <c r="H188" s="50" t="n">
        <v>0</v>
      </c>
      <c r="I188" s="50" t="n">
        <v>15</v>
      </c>
      <c r="J188" s="50" t="n">
        <v>16</v>
      </c>
    </row>
    <row r="189" customFormat="false" ht="15" hidden="false" customHeight="false" outlineLevel="0" collapsed="false">
      <c r="A189" s="47" t="s">
        <v>135</v>
      </c>
      <c r="B189" s="47" t="n">
        <v>285</v>
      </c>
      <c r="C189" s="47" t="s">
        <v>97</v>
      </c>
      <c r="D189" s="47" t="s">
        <v>102</v>
      </c>
      <c r="E189" s="48" t="n">
        <v>26</v>
      </c>
      <c r="F189" s="48" t="n">
        <v>6</v>
      </c>
      <c r="G189" s="48" t="n">
        <v>0</v>
      </c>
      <c r="H189" s="48" t="n">
        <v>5</v>
      </c>
      <c r="I189" s="48" t="n">
        <v>0</v>
      </c>
      <c r="J189" s="48" t="n">
        <v>26</v>
      </c>
    </row>
    <row r="190" customFormat="false" ht="15" hidden="false" customHeight="false" outlineLevel="0" collapsed="false">
      <c r="A190" s="49" t="s">
        <v>135</v>
      </c>
      <c r="B190" s="49" t="n">
        <v>321</v>
      </c>
      <c r="C190" s="49" t="s">
        <v>104</v>
      </c>
      <c r="D190" s="49" t="s">
        <v>105</v>
      </c>
      <c r="E190" s="50" t="n">
        <v>28</v>
      </c>
      <c r="F190" s="50" t="n">
        <v>0</v>
      </c>
      <c r="G190" s="50" t="n">
        <v>0</v>
      </c>
      <c r="H190" s="50" t="n">
        <v>3</v>
      </c>
      <c r="I190" s="50" t="n">
        <v>0</v>
      </c>
      <c r="J190" s="50" t="n">
        <v>28</v>
      </c>
    </row>
    <row r="191" customFormat="false" ht="15" hidden="false" customHeight="false" outlineLevel="0" collapsed="false">
      <c r="A191" s="51" t="s">
        <v>135</v>
      </c>
      <c r="B191" s="51" t="n">
        <v>427</v>
      </c>
      <c r="C191" s="51" t="s">
        <v>100</v>
      </c>
      <c r="D191" s="51" t="s">
        <v>119</v>
      </c>
      <c r="E191" s="52" t="n">
        <v>16</v>
      </c>
      <c r="F191" s="52" t="n">
        <v>15</v>
      </c>
      <c r="G191" s="52" t="n">
        <v>0</v>
      </c>
      <c r="H191" s="52" t="n">
        <v>0</v>
      </c>
      <c r="I191" s="52" t="n">
        <v>14</v>
      </c>
      <c r="J191" s="52" t="n">
        <v>16</v>
      </c>
    </row>
    <row r="192" customFormat="false" ht="15" hidden="false" customHeight="false" outlineLevel="0" collapsed="false">
      <c r="A192" s="49" t="s">
        <v>135</v>
      </c>
      <c r="B192" s="49" t="n">
        <v>439</v>
      </c>
      <c r="C192" s="49" t="s">
        <v>97</v>
      </c>
      <c r="D192" s="49" t="s">
        <v>134</v>
      </c>
      <c r="E192" s="50" t="n">
        <v>4</v>
      </c>
      <c r="F192" s="50" t="n">
        <v>0</v>
      </c>
      <c r="G192" s="50" t="n">
        <v>1</v>
      </c>
      <c r="H192" s="50" t="n">
        <v>1</v>
      </c>
      <c r="I192" s="50" t="n">
        <v>25</v>
      </c>
      <c r="J192" s="50" t="n">
        <v>4</v>
      </c>
    </row>
    <row r="193" customFormat="false" ht="15" hidden="false" customHeight="false" outlineLevel="0" collapsed="false">
      <c r="A193" s="47" t="s">
        <v>135</v>
      </c>
      <c r="B193" s="47" t="n">
        <v>439</v>
      </c>
      <c r="C193" s="47" t="s">
        <v>97</v>
      </c>
      <c r="D193" s="47" t="s">
        <v>126</v>
      </c>
      <c r="E193" s="48" t="n">
        <v>26</v>
      </c>
      <c r="F193" s="48" t="n">
        <v>8</v>
      </c>
      <c r="G193" s="48" t="n">
        <v>0</v>
      </c>
      <c r="H193" s="48" t="n">
        <v>5</v>
      </c>
      <c r="I193" s="48" t="n">
        <v>0</v>
      </c>
      <c r="J193" s="48" t="n">
        <v>26</v>
      </c>
    </row>
    <row r="194" customFormat="false" ht="15" hidden="false" customHeight="false" outlineLevel="0" collapsed="false">
      <c r="A194" s="49" t="s">
        <v>135</v>
      </c>
      <c r="B194" s="49" t="n">
        <v>799</v>
      </c>
      <c r="C194" s="49" t="s">
        <v>97</v>
      </c>
      <c r="D194" s="49" t="s">
        <v>136</v>
      </c>
      <c r="E194" s="50" t="n">
        <v>16</v>
      </c>
      <c r="F194" s="50" t="n">
        <v>3</v>
      </c>
      <c r="G194" s="50" t="n">
        <v>0</v>
      </c>
      <c r="H194" s="50" t="n">
        <v>2</v>
      </c>
      <c r="I194" s="50" t="n">
        <v>12</v>
      </c>
      <c r="J194" s="50" t="n">
        <v>16</v>
      </c>
    </row>
    <row r="195" customFormat="false" ht="15" hidden="false" customHeight="false" outlineLevel="0" collapsed="false">
      <c r="A195" s="47" t="s">
        <v>135</v>
      </c>
      <c r="B195" s="47" t="n">
        <v>8</v>
      </c>
      <c r="C195" s="47" t="s">
        <v>97</v>
      </c>
      <c r="D195" s="47" t="s">
        <v>107</v>
      </c>
      <c r="E195" s="48" t="n">
        <v>27</v>
      </c>
      <c r="F195" s="48" t="n">
        <v>6</v>
      </c>
      <c r="G195" s="48" t="n">
        <v>0</v>
      </c>
      <c r="H195" s="48" t="n">
        <v>4</v>
      </c>
      <c r="I195" s="48" t="n">
        <v>0</v>
      </c>
      <c r="J195" s="48" t="n">
        <v>27</v>
      </c>
    </row>
    <row r="196" customFormat="false" ht="15" hidden="false" customHeight="false" outlineLevel="0" collapsed="false">
      <c r="A196" s="49" t="s">
        <v>135</v>
      </c>
      <c r="B196" s="49" t="n">
        <v>9</v>
      </c>
      <c r="C196" s="49" t="s">
        <v>97</v>
      </c>
      <c r="D196" s="49" t="s">
        <v>98</v>
      </c>
      <c r="E196" s="50" t="n">
        <v>27</v>
      </c>
      <c r="F196" s="50" t="n">
        <v>6</v>
      </c>
      <c r="G196" s="50" t="n">
        <v>0</v>
      </c>
      <c r="H196" s="50" t="n">
        <v>4</v>
      </c>
      <c r="I196" s="50" t="n">
        <v>0</v>
      </c>
      <c r="J196" s="50" t="n">
        <v>27</v>
      </c>
    </row>
    <row r="197" customFormat="false" ht="15" hidden="false" customHeight="false" outlineLevel="0" collapsed="false">
      <c r="A197" s="47" t="s">
        <v>135</v>
      </c>
      <c r="B197" s="47" t="n">
        <v>98</v>
      </c>
      <c r="C197" s="47" t="s">
        <v>97</v>
      </c>
      <c r="D197" s="47" t="s">
        <v>108</v>
      </c>
      <c r="E197" s="48" t="n">
        <v>4</v>
      </c>
      <c r="F197" s="48" t="n">
        <v>0</v>
      </c>
      <c r="G197" s="48" t="n">
        <v>22</v>
      </c>
      <c r="H197" s="48" t="n">
        <v>5</v>
      </c>
      <c r="I197" s="48" t="n">
        <v>0</v>
      </c>
      <c r="J197" s="48" t="n">
        <v>4</v>
      </c>
    </row>
    <row r="198" customFormat="false" ht="15" hidden="false" customHeight="false" outlineLevel="0" collapsed="false">
      <c r="A198" s="49" t="s">
        <v>137</v>
      </c>
      <c r="B198" s="49"/>
      <c r="C198" s="49" t="s">
        <v>100</v>
      </c>
      <c r="D198" s="49" t="s">
        <v>128</v>
      </c>
      <c r="E198" s="50" t="n">
        <v>14</v>
      </c>
      <c r="F198" s="50" t="n">
        <v>14</v>
      </c>
      <c r="G198" s="50" t="n">
        <v>0</v>
      </c>
      <c r="H198" s="50" t="n">
        <v>0</v>
      </c>
      <c r="I198" s="50" t="n">
        <v>13</v>
      </c>
      <c r="J198" s="50" t="n">
        <v>14</v>
      </c>
    </row>
    <row r="199" customFormat="false" ht="15" hidden="false" customHeight="false" outlineLevel="0" collapsed="false">
      <c r="A199" s="47" t="s">
        <v>137</v>
      </c>
      <c r="B199" s="47" t="n">
        <v>285</v>
      </c>
      <c r="C199" s="47" t="s">
        <v>97</v>
      </c>
      <c r="D199" s="47" t="s">
        <v>102</v>
      </c>
      <c r="E199" s="48" t="n">
        <v>24</v>
      </c>
      <c r="F199" s="48" t="n">
        <v>4</v>
      </c>
      <c r="G199" s="48" t="n">
        <v>0</v>
      </c>
      <c r="H199" s="48" t="n">
        <v>4</v>
      </c>
      <c r="I199" s="48" t="n">
        <v>0</v>
      </c>
      <c r="J199" s="48" t="n">
        <v>24</v>
      </c>
    </row>
    <row r="200" customFormat="false" ht="15" hidden="false" customHeight="false" outlineLevel="0" collapsed="false">
      <c r="A200" s="49" t="s">
        <v>137</v>
      </c>
      <c r="B200" s="49" t="n">
        <v>321</v>
      </c>
      <c r="C200" s="49" t="s">
        <v>104</v>
      </c>
      <c r="D200" s="49" t="s">
        <v>105</v>
      </c>
      <c r="E200" s="50" t="n">
        <v>4</v>
      </c>
      <c r="F200" s="50" t="n">
        <v>0</v>
      </c>
      <c r="G200" s="50" t="n">
        <v>24</v>
      </c>
      <c r="H200" s="50" t="n">
        <v>4</v>
      </c>
      <c r="I200" s="50" t="n">
        <v>0</v>
      </c>
      <c r="J200" s="50" t="n">
        <v>4</v>
      </c>
    </row>
    <row r="201" customFormat="false" ht="15" hidden="false" customHeight="false" outlineLevel="0" collapsed="false">
      <c r="A201" s="51" t="s">
        <v>137</v>
      </c>
      <c r="B201" s="51" t="n">
        <v>427</v>
      </c>
      <c r="C201" s="51" t="s">
        <v>100</v>
      </c>
      <c r="D201" s="51" t="s">
        <v>119</v>
      </c>
      <c r="E201" s="52" t="n">
        <v>13</v>
      </c>
      <c r="F201" s="52" t="n">
        <v>13</v>
      </c>
      <c r="G201" s="52" t="n">
        <v>0</v>
      </c>
      <c r="H201" s="52" t="n">
        <v>0</v>
      </c>
      <c r="I201" s="52" t="n">
        <v>14</v>
      </c>
      <c r="J201" s="52" t="n">
        <v>13</v>
      </c>
    </row>
    <row r="202" customFormat="false" ht="15" hidden="false" customHeight="false" outlineLevel="0" collapsed="false">
      <c r="A202" s="49" t="s">
        <v>137</v>
      </c>
      <c r="B202" s="49" t="n">
        <v>439</v>
      </c>
      <c r="C202" s="49" t="s">
        <v>97</v>
      </c>
      <c r="D202" s="49" t="s">
        <v>126</v>
      </c>
      <c r="E202" s="50" t="n">
        <v>24</v>
      </c>
      <c r="F202" s="50" t="n">
        <v>4</v>
      </c>
      <c r="G202" s="50" t="n">
        <v>0</v>
      </c>
      <c r="H202" s="50" t="n">
        <v>4</v>
      </c>
      <c r="I202" s="50" t="n">
        <v>0</v>
      </c>
      <c r="J202" s="50" t="n">
        <v>24</v>
      </c>
    </row>
    <row r="203" customFormat="false" ht="15" hidden="false" customHeight="false" outlineLevel="0" collapsed="false">
      <c r="A203" s="47" t="s">
        <v>137</v>
      </c>
      <c r="B203" s="47" t="n">
        <v>799</v>
      </c>
      <c r="C203" s="47" t="s">
        <v>97</v>
      </c>
      <c r="D203" s="47" t="s">
        <v>136</v>
      </c>
      <c r="E203" s="48" t="n">
        <v>23</v>
      </c>
      <c r="F203" s="48" t="n">
        <v>3</v>
      </c>
      <c r="G203" s="48" t="n">
        <v>1</v>
      </c>
      <c r="H203" s="48" t="n">
        <v>4</v>
      </c>
      <c r="I203" s="48" t="n">
        <v>0</v>
      </c>
      <c r="J203" s="48" t="n">
        <v>23</v>
      </c>
    </row>
    <row r="204" customFormat="false" ht="15" hidden="false" customHeight="false" outlineLevel="0" collapsed="false">
      <c r="A204" s="49" t="s">
        <v>137</v>
      </c>
      <c r="B204" s="49" t="n">
        <v>8</v>
      </c>
      <c r="C204" s="49" t="s">
        <v>97</v>
      </c>
      <c r="D204" s="49" t="s">
        <v>107</v>
      </c>
      <c r="E204" s="50" t="n">
        <v>24</v>
      </c>
      <c r="F204" s="50" t="n">
        <v>4</v>
      </c>
      <c r="G204" s="50" t="n">
        <v>0</v>
      </c>
      <c r="H204" s="50" t="n">
        <v>4</v>
      </c>
      <c r="I204" s="50" t="n">
        <v>0</v>
      </c>
      <c r="J204" s="50" t="n">
        <v>24</v>
      </c>
    </row>
    <row r="205" customFormat="false" ht="15" hidden="false" customHeight="false" outlineLevel="0" collapsed="false">
      <c r="A205" s="47" t="s">
        <v>137</v>
      </c>
      <c r="B205" s="47" t="n">
        <v>9</v>
      </c>
      <c r="C205" s="47" t="s">
        <v>97</v>
      </c>
      <c r="D205" s="47" t="s">
        <v>98</v>
      </c>
      <c r="E205" s="48" t="n">
        <v>24</v>
      </c>
      <c r="F205" s="48" t="n">
        <v>0</v>
      </c>
      <c r="G205" s="48" t="n">
        <v>0</v>
      </c>
      <c r="H205" s="48" t="n">
        <v>4</v>
      </c>
      <c r="I205" s="48" t="n">
        <v>0</v>
      </c>
      <c r="J205" s="48" t="n">
        <v>24</v>
      </c>
    </row>
    <row r="206" customFormat="false" ht="15" hidden="false" customHeight="false" outlineLevel="0" collapsed="false">
      <c r="A206" s="49" t="s">
        <v>137</v>
      </c>
      <c r="B206" s="49" t="n">
        <v>98</v>
      </c>
      <c r="C206" s="49" t="s">
        <v>97</v>
      </c>
      <c r="D206" s="49" t="s">
        <v>108</v>
      </c>
      <c r="E206" s="50" t="n">
        <v>24</v>
      </c>
      <c r="F206" s="50" t="n">
        <v>4</v>
      </c>
      <c r="G206" s="50" t="n">
        <v>0</v>
      </c>
      <c r="H206" s="50" t="n">
        <v>4</v>
      </c>
      <c r="I206" s="50" t="n">
        <v>0</v>
      </c>
      <c r="J206" s="50" t="n">
        <v>24</v>
      </c>
    </row>
    <row r="207" customFormat="false" ht="15" hidden="false" customHeight="false" outlineLevel="0" collapsed="false">
      <c r="A207" s="51" t="s">
        <v>138</v>
      </c>
      <c r="B207" s="51"/>
      <c r="C207" s="51" t="s">
        <v>100</v>
      </c>
      <c r="D207" s="51" t="s">
        <v>128</v>
      </c>
      <c r="E207" s="52" t="n">
        <v>15</v>
      </c>
      <c r="F207" s="52" t="n">
        <v>15</v>
      </c>
      <c r="G207" s="52" t="n">
        <v>0</v>
      </c>
      <c r="H207" s="52" t="n">
        <v>0</v>
      </c>
      <c r="I207" s="52" t="n">
        <v>14</v>
      </c>
      <c r="J207" s="52" t="n">
        <v>15</v>
      </c>
    </row>
    <row r="208" customFormat="false" ht="15" hidden="false" customHeight="false" outlineLevel="0" collapsed="false">
      <c r="A208" s="49" t="s">
        <v>138</v>
      </c>
      <c r="B208" s="49" t="n">
        <v>285</v>
      </c>
      <c r="C208" s="49" t="s">
        <v>97</v>
      </c>
      <c r="D208" s="49" t="s">
        <v>102</v>
      </c>
      <c r="E208" s="50" t="n">
        <v>24</v>
      </c>
      <c r="F208" s="50" t="n">
        <v>9</v>
      </c>
      <c r="G208" s="50" t="n">
        <v>2</v>
      </c>
      <c r="H208" s="50" t="n">
        <v>4</v>
      </c>
      <c r="I208" s="50" t="n">
        <v>0</v>
      </c>
      <c r="J208" s="50" t="n">
        <v>24</v>
      </c>
    </row>
    <row r="209" customFormat="false" ht="15" hidden="false" customHeight="false" outlineLevel="0" collapsed="false">
      <c r="A209" s="53" t="s">
        <v>138</v>
      </c>
      <c r="B209" s="53" t="n">
        <v>321</v>
      </c>
      <c r="C209" s="53" t="s">
        <v>104</v>
      </c>
      <c r="D209" s="53" t="s">
        <v>105</v>
      </c>
      <c r="E209" s="54" t="n">
        <v>26</v>
      </c>
      <c r="F209" s="54" t="n">
        <v>0</v>
      </c>
      <c r="G209" s="54" t="n">
        <v>0</v>
      </c>
      <c r="H209" s="54" t="n">
        <v>5</v>
      </c>
      <c r="I209" s="54" t="n">
        <v>0</v>
      </c>
      <c r="J209" s="54" t="n">
        <v>26</v>
      </c>
    </row>
    <row r="210" customFormat="false" ht="15" hidden="false" customHeight="false" outlineLevel="0" collapsed="false">
      <c r="A210" s="49" t="s">
        <v>138</v>
      </c>
      <c r="B210" s="49" t="n">
        <v>427</v>
      </c>
      <c r="C210" s="49" t="s">
        <v>100</v>
      </c>
      <c r="D210" s="49" t="s">
        <v>119</v>
      </c>
      <c r="E210" s="50" t="n">
        <v>16</v>
      </c>
      <c r="F210" s="50" t="n">
        <v>14</v>
      </c>
      <c r="G210" s="50" t="n">
        <v>0</v>
      </c>
      <c r="H210" s="50" t="n">
        <v>0</v>
      </c>
      <c r="I210" s="50" t="n">
        <v>14</v>
      </c>
      <c r="J210" s="50" t="n">
        <v>16</v>
      </c>
    </row>
    <row r="211" customFormat="false" ht="15" hidden="false" customHeight="false" outlineLevel="0" collapsed="false">
      <c r="A211" s="47" t="s">
        <v>138</v>
      </c>
      <c r="B211" s="47" t="n">
        <v>439</v>
      </c>
      <c r="C211" s="47" t="s">
        <v>97</v>
      </c>
      <c r="D211" s="47" t="s">
        <v>139</v>
      </c>
      <c r="E211" s="48" t="n">
        <v>6</v>
      </c>
      <c r="F211" s="48" t="n">
        <v>1</v>
      </c>
      <c r="G211" s="48" t="n">
        <v>21</v>
      </c>
      <c r="H211" s="48" t="n">
        <v>4</v>
      </c>
      <c r="I211" s="48" t="n">
        <v>0</v>
      </c>
      <c r="J211" s="48" t="n">
        <v>6</v>
      </c>
    </row>
    <row r="212" customFormat="false" ht="15" hidden="false" customHeight="false" outlineLevel="0" collapsed="false">
      <c r="A212" s="49" t="s">
        <v>138</v>
      </c>
      <c r="B212" s="49" t="n">
        <v>799</v>
      </c>
      <c r="C212" s="49" t="s">
        <v>97</v>
      </c>
      <c r="D212" s="49" t="s">
        <v>136</v>
      </c>
      <c r="E212" s="50" t="n">
        <v>24</v>
      </c>
      <c r="F212" s="50" t="n">
        <v>4</v>
      </c>
      <c r="G212" s="50" t="n">
        <v>2</v>
      </c>
      <c r="H212" s="50" t="n">
        <v>5</v>
      </c>
      <c r="I212" s="50" t="n">
        <v>0</v>
      </c>
      <c r="J212" s="50" t="n">
        <v>24</v>
      </c>
    </row>
    <row r="213" customFormat="false" ht="15" hidden="false" customHeight="false" outlineLevel="0" collapsed="false">
      <c r="A213" s="47" t="s">
        <v>138</v>
      </c>
      <c r="B213" s="47" t="n">
        <v>8</v>
      </c>
      <c r="C213" s="47" t="s">
        <v>97</v>
      </c>
      <c r="D213" s="47" t="s">
        <v>107</v>
      </c>
      <c r="E213" s="48" t="n">
        <v>19</v>
      </c>
      <c r="F213" s="48" t="n">
        <v>3</v>
      </c>
      <c r="G213" s="48" t="n">
        <v>8</v>
      </c>
      <c r="H213" s="48" t="n">
        <v>4</v>
      </c>
      <c r="I213" s="48" t="n">
        <v>0</v>
      </c>
      <c r="J213" s="48" t="n">
        <v>19</v>
      </c>
    </row>
    <row r="214" customFormat="false" ht="15" hidden="false" customHeight="false" outlineLevel="0" collapsed="false">
      <c r="A214" s="49" t="s">
        <v>138</v>
      </c>
      <c r="B214" s="49" t="n">
        <v>9</v>
      </c>
      <c r="C214" s="49" t="s">
        <v>97</v>
      </c>
      <c r="D214" s="49" t="s">
        <v>98</v>
      </c>
      <c r="E214" s="50" t="n">
        <v>26</v>
      </c>
      <c r="F214" s="50" t="n">
        <v>6</v>
      </c>
      <c r="G214" s="50" t="n">
        <v>0</v>
      </c>
      <c r="H214" s="50" t="n">
        <v>5</v>
      </c>
      <c r="I214" s="50" t="n">
        <v>0</v>
      </c>
      <c r="J214" s="50" t="n">
        <v>26</v>
      </c>
    </row>
    <row r="215" customFormat="false" ht="15" hidden="false" customHeight="false" outlineLevel="0" collapsed="false">
      <c r="A215" s="47" t="s">
        <v>138</v>
      </c>
      <c r="B215" s="47" t="n">
        <v>98</v>
      </c>
      <c r="C215" s="47" t="s">
        <v>97</v>
      </c>
      <c r="D215" s="47" t="s">
        <v>108</v>
      </c>
      <c r="E215" s="48" t="n">
        <v>27</v>
      </c>
      <c r="F215" s="48" t="n">
        <v>9</v>
      </c>
      <c r="G215" s="48" t="n">
        <v>0</v>
      </c>
      <c r="H215" s="48" t="n">
        <v>4</v>
      </c>
      <c r="I215" s="48" t="n">
        <v>0</v>
      </c>
      <c r="J215" s="48" t="n">
        <v>27</v>
      </c>
    </row>
    <row r="216" customFormat="false" ht="15" hidden="false" customHeight="false" outlineLevel="0" collapsed="false">
      <c r="A216" s="49" t="s">
        <v>140</v>
      </c>
      <c r="B216" s="49"/>
      <c r="C216" s="49" t="s">
        <v>100</v>
      </c>
      <c r="D216" s="49" t="s">
        <v>128</v>
      </c>
      <c r="E216" s="50" t="n">
        <v>15</v>
      </c>
      <c r="F216" s="50" t="n">
        <v>15</v>
      </c>
      <c r="G216" s="50" t="n">
        <v>0</v>
      </c>
      <c r="H216" s="50" t="n">
        <v>0</v>
      </c>
      <c r="I216" s="50" t="n">
        <v>15</v>
      </c>
      <c r="J216" s="50" t="n">
        <v>15</v>
      </c>
    </row>
    <row r="217" customFormat="false" ht="15" hidden="false" customHeight="false" outlineLevel="0" collapsed="false">
      <c r="A217" s="47" t="s">
        <v>140</v>
      </c>
      <c r="B217" s="47" t="n">
        <v>285</v>
      </c>
      <c r="C217" s="47" t="s">
        <v>97</v>
      </c>
      <c r="D217" s="47" t="s">
        <v>102</v>
      </c>
      <c r="E217" s="48" t="n">
        <v>26</v>
      </c>
      <c r="F217" s="48" t="n">
        <v>9</v>
      </c>
      <c r="G217" s="48" t="n">
        <v>0</v>
      </c>
      <c r="H217" s="48" t="n">
        <v>4</v>
      </c>
      <c r="I217" s="48" t="n">
        <v>0</v>
      </c>
      <c r="J217" s="48" t="n">
        <v>26</v>
      </c>
    </row>
    <row r="218" customFormat="false" ht="15" hidden="false" customHeight="false" outlineLevel="0" collapsed="false">
      <c r="A218" s="49" t="s">
        <v>140</v>
      </c>
      <c r="B218" s="49" t="n">
        <v>321</v>
      </c>
      <c r="C218" s="49" t="s">
        <v>104</v>
      </c>
      <c r="D218" s="49" t="s">
        <v>105</v>
      </c>
      <c r="E218" s="50" t="n">
        <v>26</v>
      </c>
      <c r="F218" s="50" t="n">
        <v>0</v>
      </c>
      <c r="G218" s="50" t="n">
        <v>0</v>
      </c>
      <c r="H218" s="50" t="n">
        <v>4</v>
      </c>
      <c r="I218" s="50" t="n">
        <v>0</v>
      </c>
      <c r="J218" s="50" t="n">
        <v>26</v>
      </c>
    </row>
    <row r="219" customFormat="false" ht="15" hidden="false" customHeight="false" outlineLevel="0" collapsed="false">
      <c r="A219" s="51" t="s">
        <v>140</v>
      </c>
      <c r="B219" s="51" t="n">
        <v>427</v>
      </c>
      <c r="C219" s="51" t="s">
        <v>100</v>
      </c>
      <c r="D219" s="51" t="s">
        <v>119</v>
      </c>
      <c r="E219" s="52" t="n">
        <v>15</v>
      </c>
      <c r="F219" s="52" t="n">
        <v>15</v>
      </c>
      <c r="G219" s="52" t="n">
        <v>0</v>
      </c>
      <c r="H219" s="52" t="n">
        <v>0</v>
      </c>
      <c r="I219" s="52" t="n">
        <v>15</v>
      </c>
      <c r="J219" s="52" t="n">
        <v>15</v>
      </c>
    </row>
    <row r="220" customFormat="false" ht="15" hidden="false" customHeight="false" outlineLevel="0" collapsed="false">
      <c r="A220" s="49" t="s">
        <v>140</v>
      </c>
      <c r="B220" s="49" t="n">
        <v>439</v>
      </c>
      <c r="C220" s="49" t="s">
        <v>97</v>
      </c>
      <c r="D220" s="49" t="s">
        <v>139</v>
      </c>
      <c r="E220" s="50" t="n">
        <v>0</v>
      </c>
      <c r="F220" s="50" t="n">
        <v>0</v>
      </c>
      <c r="G220" s="50" t="n">
        <v>26</v>
      </c>
      <c r="H220" s="50" t="n">
        <v>4</v>
      </c>
      <c r="I220" s="50" t="n">
        <v>0</v>
      </c>
      <c r="J220" s="50" t="n">
        <v>0</v>
      </c>
    </row>
    <row r="221" customFormat="false" ht="15" hidden="false" customHeight="false" outlineLevel="0" collapsed="false">
      <c r="A221" s="47" t="s">
        <v>140</v>
      </c>
      <c r="B221" s="47" t="n">
        <v>799</v>
      </c>
      <c r="C221" s="47" t="s">
        <v>97</v>
      </c>
      <c r="D221" s="47" t="s">
        <v>136</v>
      </c>
      <c r="E221" s="48" t="n">
        <v>16</v>
      </c>
      <c r="F221" s="48" t="n">
        <v>2</v>
      </c>
      <c r="G221" s="48" t="n">
        <v>10</v>
      </c>
      <c r="H221" s="48" t="n">
        <v>4</v>
      </c>
      <c r="I221" s="48" t="n">
        <v>0</v>
      </c>
      <c r="J221" s="48" t="n">
        <v>16</v>
      </c>
    </row>
    <row r="222" customFormat="false" ht="15" hidden="false" customHeight="false" outlineLevel="0" collapsed="false">
      <c r="A222" s="49" t="s">
        <v>140</v>
      </c>
      <c r="B222" s="49" t="n">
        <v>8</v>
      </c>
      <c r="C222" s="49" t="s">
        <v>97</v>
      </c>
      <c r="D222" s="49" t="s">
        <v>107</v>
      </c>
      <c r="E222" s="50" t="n">
        <v>25</v>
      </c>
      <c r="F222" s="50" t="n">
        <v>8</v>
      </c>
      <c r="G222" s="50" t="n">
        <v>0</v>
      </c>
      <c r="H222" s="50" t="n">
        <v>5</v>
      </c>
      <c r="I222" s="50" t="n">
        <v>0</v>
      </c>
      <c r="J222" s="50" t="n">
        <v>25</v>
      </c>
    </row>
    <row r="223" customFormat="false" ht="15" hidden="false" customHeight="false" outlineLevel="0" collapsed="false">
      <c r="A223" s="47" t="s">
        <v>140</v>
      </c>
      <c r="B223" s="47" t="n">
        <v>9</v>
      </c>
      <c r="C223" s="47" t="s">
        <v>97</v>
      </c>
      <c r="D223" s="47" t="s">
        <v>141</v>
      </c>
      <c r="E223" s="48" t="n">
        <v>24</v>
      </c>
      <c r="F223" s="48" t="n">
        <v>9</v>
      </c>
      <c r="G223" s="48" t="n">
        <v>2</v>
      </c>
      <c r="H223" s="48" t="n">
        <v>4</v>
      </c>
      <c r="I223" s="48" t="n">
        <v>0</v>
      </c>
      <c r="J223" s="48" t="n">
        <v>24</v>
      </c>
    </row>
    <row r="224" customFormat="false" ht="15" hidden="false" customHeight="false" outlineLevel="0" collapsed="false">
      <c r="A224" s="49" t="s">
        <v>140</v>
      </c>
      <c r="B224" s="49" t="n">
        <v>98</v>
      </c>
      <c r="C224" s="49" t="s">
        <v>97</v>
      </c>
      <c r="D224" s="49" t="s">
        <v>108</v>
      </c>
      <c r="E224" s="50" t="n">
        <v>25</v>
      </c>
      <c r="F224" s="50" t="n">
        <v>11</v>
      </c>
      <c r="G224" s="50" t="n">
        <v>0</v>
      </c>
      <c r="H224" s="50" t="n">
        <v>5</v>
      </c>
      <c r="I224" s="50" t="n">
        <v>0</v>
      </c>
      <c r="J224" s="50" t="n">
        <v>25</v>
      </c>
    </row>
    <row r="225" customFormat="false" ht="15" hidden="false" customHeight="false" outlineLevel="0" collapsed="false">
      <c r="A225" s="51" t="s">
        <v>142</v>
      </c>
      <c r="B225" s="51"/>
      <c r="C225" s="51" t="s">
        <v>100</v>
      </c>
      <c r="D225" s="51" t="s">
        <v>128</v>
      </c>
      <c r="E225" s="52" t="n">
        <v>16</v>
      </c>
      <c r="F225" s="52" t="n">
        <v>15</v>
      </c>
      <c r="G225" s="52" t="n">
        <v>0</v>
      </c>
      <c r="H225" s="52" t="n">
        <v>0</v>
      </c>
      <c r="I225" s="52" t="n">
        <v>15</v>
      </c>
      <c r="J225" s="52" t="n">
        <v>16</v>
      </c>
    </row>
    <row r="226" customFormat="false" ht="15" hidden="false" customHeight="false" outlineLevel="0" collapsed="false">
      <c r="A226" s="49" t="s">
        <v>142</v>
      </c>
      <c r="B226" s="49" t="n">
        <v>285</v>
      </c>
      <c r="C226" s="49" t="s">
        <v>97</v>
      </c>
      <c r="D226" s="49" t="s">
        <v>102</v>
      </c>
      <c r="E226" s="50" t="n">
        <v>24</v>
      </c>
      <c r="F226" s="50" t="n">
        <v>7</v>
      </c>
      <c r="G226" s="50" t="n">
        <v>2</v>
      </c>
      <c r="H226" s="50" t="n">
        <v>5</v>
      </c>
      <c r="I226" s="50" t="n">
        <v>0</v>
      </c>
      <c r="J226" s="50" t="n">
        <v>24</v>
      </c>
    </row>
    <row r="227" customFormat="false" ht="15" hidden="false" customHeight="false" outlineLevel="0" collapsed="false">
      <c r="A227" s="53" t="s">
        <v>142</v>
      </c>
      <c r="B227" s="53" t="n">
        <v>321</v>
      </c>
      <c r="C227" s="53" t="s">
        <v>104</v>
      </c>
      <c r="D227" s="53" t="s">
        <v>105</v>
      </c>
      <c r="E227" s="54" t="n">
        <v>27</v>
      </c>
      <c r="F227" s="54" t="n">
        <v>0</v>
      </c>
      <c r="G227" s="54" t="n">
        <v>0</v>
      </c>
      <c r="H227" s="54" t="n">
        <v>4</v>
      </c>
      <c r="I227" s="54" t="n">
        <v>0</v>
      </c>
      <c r="J227" s="54" t="n">
        <v>27</v>
      </c>
    </row>
    <row r="228" customFormat="false" ht="15" hidden="false" customHeight="false" outlineLevel="0" collapsed="false">
      <c r="A228" s="49" t="s">
        <v>142</v>
      </c>
      <c r="B228" s="49" t="n">
        <v>427</v>
      </c>
      <c r="C228" s="49" t="s">
        <v>100</v>
      </c>
      <c r="D228" s="49" t="s">
        <v>119</v>
      </c>
      <c r="E228" s="50" t="n">
        <v>16</v>
      </c>
      <c r="F228" s="50" t="n">
        <v>15</v>
      </c>
      <c r="G228" s="50" t="n">
        <v>0</v>
      </c>
      <c r="H228" s="50" t="n">
        <v>0</v>
      </c>
      <c r="I228" s="50" t="n">
        <v>15</v>
      </c>
      <c r="J228" s="50" t="n">
        <v>16</v>
      </c>
    </row>
    <row r="229" customFormat="false" ht="15" hidden="false" customHeight="false" outlineLevel="0" collapsed="false">
      <c r="A229" s="47" t="s">
        <v>142</v>
      </c>
      <c r="B229" s="47" t="n">
        <v>439</v>
      </c>
      <c r="C229" s="47" t="s">
        <v>97</v>
      </c>
      <c r="D229" s="47" t="s">
        <v>139</v>
      </c>
      <c r="E229" s="48" t="n">
        <v>20</v>
      </c>
      <c r="F229" s="48" t="n">
        <v>5</v>
      </c>
      <c r="G229" s="48" t="n">
        <v>6</v>
      </c>
      <c r="H229" s="48" t="n">
        <v>5</v>
      </c>
      <c r="I229" s="48" t="n">
        <v>0</v>
      </c>
      <c r="J229" s="48" t="n">
        <v>20</v>
      </c>
    </row>
    <row r="230" customFormat="false" ht="15" hidden="false" customHeight="false" outlineLevel="0" collapsed="false">
      <c r="A230" s="49" t="s">
        <v>142</v>
      </c>
      <c r="B230" s="49" t="n">
        <v>799</v>
      </c>
      <c r="C230" s="49" t="s">
        <v>97</v>
      </c>
      <c r="D230" s="49" t="s">
        <v>136</v>
      </c>
      <c r="E230" s="50" t="n">
        <v>25</v>
      </c>
      <c r="F230" s="50" t="n">
        <v>5</v>
      </c>
      <c r="G230" s="50" t="n">
        <v>2</v>
      </c>
      <c r="H230" s="50" t="n">
        <v>4</v>
      </c>
      <c r="I230" s="50" t="n">
        <v>0</v>
      </c>
      <c r="J230" s="50" t="n">
        <v>25</v>
      </c>
    </row>
    <row r="231" customFormat="false" ht="15" hidden="false" customHeight="false" outlineLevel="0" collapsed="false">
      <c r="A231" s="47" t="s">
        <v>142</v>
      </c>
      <c r="B231" s="47" t="n">
        <v>8</v>
      </c>
      <c r="C231" s="47" t="s">
        <v>97</v>
      </c>
      <c r="D231" s="47" t="s">
        <v>107</v>
      </c>
      <c r="E231" s="48" t="n">
        <v>18</v>
      </c>
      <c r="F231" s="48" t="n">
        <v>3</v>
      </c>
      <c r="G231" s="48" t="n">
        <v>9</v>
      </c>
      <c r="H231" s="48" t="n">
        <v>4</v>
      </c>
      <c r="I231" s="48" t="n">
        <v>0</v>
      </c>
      <c r="J231" s="48" t="n">
        <v>18</v>
      </c>
    </row>
    <row r="232" customFormat="false" ht="15" hidden="false" customHeight="false" outlineLevel="0" collapsed="false">
      <c r="A232" s="49" t="s">
        <v>142</v>
      </c>
      <c r="B232" s="49" t="n">
        <v>9</v>
      </c>
      <c r="C232" s="49" t="s">
        <v>97</v>
      </c>
      <c r="D232" s="49" t="s">
        <v>141</v>
      </c>
      <c r="E232" s="50" t="n">
        <v>27</v>
      </c>
      <c r="F232" s="50" t="n">
        <v>8</v>
      </c>
      <c r="G232" s="50" t="n">
        <v>0</v>
      </c>
      <c r="H232" s="50" t="n">
        <v>4</v>
      </c>
      <c r="I232" s="50" t="n">
        <v>0</v>
      </c>
      <c r="J232" s="50" t="n">
        <v>27</v>
      </c>
    </row>
    <row r="233" customFormat="false" ht="15" hidden="false" customHeight="false" outlineLevel="0" collapsed="false">
      <c r="A233" s="47" t="s">
        <v>142</v>
      </c>
      <c r="B233" s="47" t="n">
        <v>98</v>
      </c>
      <c r="C233" s="47" t="s">
        <v>97</v>
      </c>
      <c r="D233" s="47" t="s">
        <v>108</v>
      </c>
      <c r="E233" s="48" t="n">
        <v>27</v>
      </c>
      <c r="F233" s="48" t="n">
        <v>10</v>
      </c>
      <c r="G233" s="48" t="n">
        <v>0</v>
      </c>
      <c r="H233" s="48" t="n">
        <v>4</v>
      </c>
      <c r="I233" s="48" t="n">
        <v>0</v>
      </c>
      <c r="J233" s="48" t="n">
        <v>27</v>
      </c>
    </row>
    <row r="234" customFormat="false" ht="15" hidden="false" customHeight="false" outlineLevel="0" collapsed="false">
      <c r="A234" s="49" t="s">
        <v>143</v>
      </c>
      <c r="B234" s="49" t="n">
        <v>285</v>
      </c>
      <c r="C234" s="49" t="s">
        <v>97</v>
      </c>
      <c r="D234" s="49" t="s">
        <v>102</v>
      </c>
      <c r="E234" s="50" t="n">
        <v>26</v>
      </c>
      <c r="F234" s="50" t="n">
        <v>2</v>
      </c>
      <c r="G234" s="50" t="n">
        <v>0</v>
      </c>
      <c r="H234" s="50" t="n">
        <v>4</v>
      </c>
      <c r="I234" s="50" t="n">
        <v>0</v>
      </c>
      <c r="J234" s="50" t="n">
        <v>26</v>
      </c>
    </row>
    <row r="235" customFormat="false" ht="15" hidden="false" customHeight="false" outlineLevel="0" collapsed="false">
      <c r="A235" s="53" t="s">
        <v>143</v>
      </c>
      <c r="B235" s="53" t="n">
        <v>321</v>
      </c>
      <c r="C235" s="53" t="s">
        <v>104</v>
      </c>
      <c r="D235" s="53" t="s">
        <v>105</v>
      </c>
      <c r="E235" s="54" t="n">
        <v>20</v>
      </c>
      <c r="F235" s="54" t="n">
        <v>0</v>
      </c>
      <c r="G235" s="54" t="n">
        <v>5</v>
      </c>
      <c r="H235" s="54" t="n">
        <v>5</v>
      </c>
      <c r="I235" s="54" t="n">
        <v>0</v>
      </c>
      <c r="J235" s="54" t="n">
        <v>20</v>
      </c>
    </row>
    <row r="236" customFormat="false" ht="15" hidden="false" customHeight="false" outlineLevel="0" collapsed="false">
      <c r="A236" s="49" t="s">
        <v>143</v>
      </c>
      <c r="B236" s="49" t="n">
        <v>427</v>
      </c>
      <c r="C236" s="49" t="s">
        <v>100</v>
      </c>
      <c r="D236" s="49" t="s">
        <v>119</v>
      </c>
      <c r="E236" s="50" t="n">
        <v>16</v>
      </c>
      <c r="F236" s="50" t="n">
        <v>14</v>
      </c>
      <c r="G236" s="50" t="n">
        <v>0</v>
      </c>
      <c r="H236" s="50" t="n">
        <v>0</v>
      </c>
      <c r="I236" s="50" t="n">
        <v>14</v>
      </c>
      <c r="J236" s="50" t="n">
        <v>16</v>
      </c>
    </row>
    <row r="237" customFormat="false" ht="15" hidden="false" customHeight="false" outlineLevel="0" collapsed="false">
      <c r="A237" s="47" t="s">
        <v>143</v>
      </c>
      <c r="B237" s="47" t="n">
        <v>439</v>
      </c>
      <c r="C237" s="47" t="s">
        <v>97</v>
      </c>
      <c r="D237" s="47" t="s">
        <v>139</v>
      </c>
      <c r="E237" s="48" t="n">
        <v>26</v>
      </c>
      <c r="F237" s="48" t="n">
        <v>3</v>
      </c>
      <c r="G237" s="48" t="n">
        <v>0</v>
      </c>
      <c r="H237" s="48" t="n">
        <v>4</v>
      </c>
      <c r="I237" s="48" t="n">
        <v>0</v>
      </c>
      <c r="J237" s="48" t="n">
        <v>26</v>
      </c>
    </row>
    <row r="238" customFormat="false" ht="15" hidden="false" customHeight="false" outlineLevel="0" collapsed="false">
      <c r="A238" s="49" t="s">
        <v>143</v>
      </c>
      <c r="B238" s="49" t="n">
        <v>799</v>
      </c>
      <c r="C238" s="49" t="s">
        <v>97</v>
      </c>
      <c r="D238" s="49" t="s">
        <v>136</v>
      </c>
      <c r="E238" s="50" t="n">
        <v>21</v>
      </c>
      <c r="F238" s="50" t="n">
        <v>2</v>
      </c>
      <c r="G238" s="50" t="n">
        <v>4</v>
      </c>
      <c r="H238" s="50" t="n">
        <v>5</v>
      </c>
      <c r="I238" s="50" t="n">
        <v>0</v>
      </c>
      <c r="J238" s="50" t="n">
        <v>21</v>
      </c>
    </row>
    <row r="239" customFormat="false" ht="15" hidden="false" customHeight="false" outlineLevel="0" collapsed="false">
      <c r="A239" s="47" t="s">
        <v>143</v>
      </c>
      <c r="B239" s="47" t="n">
        <v>8</v>
      </c>
      <c r="C239" s="47" t="s">
        <v>97</v>
      </c>
      <c r="D239" s="47" t="s">
        <v>107</v>
      </c>
      <c r="E239" s="48" t="n">
        <v>26</v>
      </c>
      <c r="F239" s="48" t="n">
        <v>2</v>
      </c>
      <c r="G239" s="48" t="n">
        <v>0</v>
      </c>
      <c r="H239" s="48" t="n">
        <v>4</v>
      </c>
      <c r="I239" s="48" t="n">
        <v>0</v>
      </c>
      <c r="J239" s="48" t="n">
        <v>26</v>
      </c>
    </row>
    <row r="240" customFormat="false" ht="15" hidden="false" customHeight="false" outlineLevel="0" collapsed="false">
      <c r="A240" s="49" t="s">
        <v>143</v>
      </c>
      <c r="B240" s="49" t="n">
        <v>9</v>
      </c>
      <c r="C240" s="49" t="s">
        <v>97</v>
      </c>
      <c r="D240" s="49" t="s">
        <v>141</v>
      </c>
      <c r="E240" s="50" t="n">
        <v>24</v>
      </c>
      <c r="F240" s="50" t="n">
        <v>2</v>
      </c>
      <c r="G240" s="50" t="n">
        <v>1</v>
      </c>
      <c r="H240" s="50" t="n">
        <v>5</v>
      </c>
      <c r="I240" s="50" t="n">
        <v>0</v>
      </c>
      <c r="J240" s="50" t="n">
        <v>24</v>
      </c>
    </row>
    <row r="241" customFormat="false" ht="15" hidden="false" customHeight="false" outlineLevel="0" collapsed="false">
      <c r="A241" s="47" t="s">
        <v>143</v>
      </c>
      <c r="B241" s="47" t="n">
        <v>98</v>
      </c>
      <c r="C241" s="47" t="s">
        <v>97</v>
      </c>
      <c r="D241" s="47" t="s">
        <v>108</v>
      </c>
      <c r="E241" s="48" t="n">
        <v>26</v>
      </c>
      <c r="F241" s="48" t="n">
        <v>4</v>
      </c>
      <c r="G241" s="48" t="n">
        <v>0</v>
      </c>
      <c r="H241" s="48" t="n">
        <v>4</v>
      </c>
      <c r="I241" s="48" t="n">
        <v>0</v>
      </c>
      <c r="J241" s="48" t="n">
        <v>26</v>
      </c>
    </row>
    <row r="242" customFormat="false" ht="15" hidden="false" customHeight="false" outlineLevel="0" collapsed="false">
      <c r="A242" s="49" t="s">
        <v>144</v>
      </c>
      <c r="B242" s="49"/>
      <c r="C242" s="49" t="s">
        <v>100</v>
      </c>
      <c r="D242" s="49" t="s">
        <v>128</v>
      </c>
      <c r="E242" s="50" t="n">
        <v>16</v>
      </c>
      <c r="F242" s="50" t="n">
        <v>15</v>
      </c>
      <c r="G242" s="50" t="n">
        <v>0</v>
      </c>
      <c r="H242" s="50" t="n">
        <v>0</v>
      </c>
      <c r="I242" s="50" t="n">
        <v>15</v>
      </c>
      <c r="J242" s="50" t="n">
        <v>31</v>
      </c>
    </row>
    <row r="243" customFormat="false" ht="15" hidden="false" customHeight="false" outlineLevel="0" collapsed="false">
      <c r="A243" s="47" t="s">
        <v>144</v>
      </c>
      <c r="B243" s="47" t="n">
        <v>285</v>
      </c>
      <c r="C243" s="47" t="s">
        <v>97</v>
      </c>
      <c r="D243" s="47" t="s">
        <v>102</v>
      </c>
      <c r="E243" s="48" t="n">
        <v>26</v>
      </c>
      <c r="F243" s="48" t="n">
        <v>3</v>
      </c>
      <c r="G243" s="48" t="n">
        <v>0</v>
      </c>
      <c r="H243" s="48" t="n">
        <v>5</v>
      </c>
      <c r="I243" s="48" t="n">
        <v>0</v>
      </c>
      <c r="J243" s="48" t="n">
        <v>29</v>
      </c>
    </row>
    <row r="244" customFormat="false" ht="15" hidden="false" customHeight="false" outlineLevel="0" collapsed="false">
      <c r="A244" s="49" t="s">
        <v>144</v>
      </c>
      <c r="B244" s="49" t="n">
        <v>321</v>
      </c>
      <c r="C244" s="49" t="s">
        <v>104</v>
      </c>
      <c r="D244" s="49" t="s">
        <v>105</v>
      </c>
      <c r="E244" s="50" t="n">
        <v>19</v>
      </c>
      <c r="F244" s="50" t="n">
        <v>0</v>
      </c>
      <c r="G244" s="50" t="n">
        <v>9</v>
      </c>
      <c r="H244" s="50" t="n">
        <v>3</v>
      </c>
      <c r="I244" s="50" t="n">
        <v>0</v>
      </c>
      <c r="J244" s="50" t="n">
        <v>19</v>
      </c>
    </row>
    <row r="245" customFormat="false" ht="15" hidden="false" customHeight="false" outlineLevel="0" collapsed="false">
      <c r="A245" s="51" t="s">
        <v>144</v>
      </c>
      <c r="B245" s="51" t="n">
        <v>427</v>
      </c>
      <c r="C245" s="51" t="s">
        <v>100</v>
      </c>
      <c r="D245" s="51" t="s">
        <v>119</v>
      </c>
      <c r="E245" s="52" t="n">
        <v>16</v>
      </c>
      <c r="F245" s="52" t="n">
        <v>15</v>
      </c>
      <c r="G245" s="52" t="n">
        <v>0</v>
      </c>
      <c r="H245" s="52" t="n">
        <v>0</v>
      </c>
      <c r="I245" s="52" t="n">
        <v>15</v>
      </c>
      <c r="J245" s="52" t="n">
        <v>31</v>
      </c>
    </row>
    <row r="246" customFormat="false" ht="15" hidden="false" customHeight="false" outlineLevel="0" collapsed="false">
      <c r="A246" s="49" t="s">
        <v>144</v>
      </c>
      <c r="B246" s="49" t="n">
        <v>439</v>
      </c>
      <c r="C246" s="49" t="s">
        <v>97</v>
      </c>
      <c r="D246" s="49" t="s">
        <v>139</v>
      </c>
      <c r="E246" s="50" t="n">
        <v>27</v>
      </c>
      <c r="F246" s="50" t="n">
        <v>4</v>
      </c>
      <c r="G246" s="50" t="n">
        <v>0</v>
      </c>
      <c r="H246" s="50" t="n">
        <v>4</v>
      </c>
      <c r="I246" s="50" t="n">
        <v>0</v>
      </c>
      <c r="J246" s="50" t="n">
        <v>31</v>
      </c>
    </row>
    <row r="247" customFormat="false" ht="15" hidden="false" customHeight="false" outlineLevel="0" collapsed="false">
      <c r="A247" s="47" t="s">
        <v>144</v>
      </c>
      <c r="B247" s="47" t="n">
        <v>799</v>
      </c>
      <c r="C247" s="47" t="s">
        <v>97</v>
      </c>
      <c r="D247" s="47" t="s">
        <v>136</v>
      </c>
      <c r="E247" s="48" t="n">
        <v>25</v>
      </c>
      <c r="F247" s="48" t="n">
        <v>2</v>
      </c>
      <c r="G247" s="48" t="n">
        <v>2</v>
      </c>
      <c r="H247" s="48" t="n">
        <v>4</v>
      </c>
      <c r="I247" s="48" t="n">
        <v>0</v>
      </c>
      <c r="J247" s="48" t="n">
        <v>27</v>
      </c>
    </row>
    <row r="248" customFormat="false" ht="15" hidden="false" customHeight="false" outlineLevel="0" collapsed="false">
      <c r="A248" s="49" t="s">
        <v>144</v>
      </c>
      <c r="B248" s="49" t="n">
        <v>8</v>
      </c>
      <c r="C248" s="49" t="s">
        <v>97</v>
      </c>
      <c r="D248" s="49" t="s">
        <v>107</v>
      </c>
      <c r="E248" s="50" t="n">
        <v>22</v>
      </c>
      <c r="F248" s="50" t="n">
        <v>2</v>
      </c>
      <c r="G248" s="50" t="n">
        <v>4</v>
      </c>
      <c r="H248" s="50" t="n">
        <v>5</v>
      </c>
      <c r="I248" s="50" t="n">
        <v>0</v>
      </c>
      <c r="J248" s="50" t="n">
        <v>24</v>
      </c>
    </row>
    <row r="249" customFormat="false" ht="15" hidden="false" customHeight="false" outlineLevel="0" collapsed="false">
      <c r="A249" s="47" t="s">
        <v>144</v>
      </c>
      <c r="B249" s="47" t="n">
        <v>9</v>
      </c>
      <c r="C249" s="47" t="s">
        <v>97</v>
      </c>
      <c r="D249" s="47" t="s">
        <v>141</v>
      </c>
      <c r="E249" s="48" t="n">
        <v>26</v>
      </c>
      <c r="F249" s="48" t="n">
        <v>0</v>
      </c>
      <c r="G249" s="48" t="n">
        <v>1</v>
      </c>
      <c r="H249" s="48" t="n">
        <v>4</v>
      </c>
      <c r="I249" s="48" t="n">
        <v>0</v>
      </c>
      <c r="J249" s="48" t="n">
        <v>26</v>
      </c>
    </row>
    <row r="250" customFormat="false" ht="15" hidden="false" customHeight="false" outlineLevel="0" collapsed="false">
      <c r="A250" s="49" t="s">
        <v>144</v>
      </c>
      <c r="B250" s="49" t="n">
        <v>98</v>
      </c>
      <c r="C250" s="49" t="s">
        <v>97</v>
      </c>
      <c r="D250" s="49" t="s">
        <v>108</v>
      </c>
      <c r="E250" s="50" t="n">
        <v>26</v>
      </c>
      <c r="F250" s="50" t="n">
        <v>3</v>
      </c>
      <c r="G250" s="50" t="n">
        <v>0</v>
      </c>
      <c r="H250" s="50" t="n">
        <v>5</v>
      </c>
      <c r="I250" s="50" t="n">
        <v>0</v>
      </c>
      <c r="J250" s="50" t="n">
        <v>29</v>
      </c>
    </row>
    <row r="251" customFormat="false" ht="15" hidden="false" customHeight="false" outlineLevel="0" collapsed="false">
      <c r="A251" s="51" t="s">
        <v>145</v>
      </c>
      <c r="B251" s="51"/>
      <c r="C251" s="51" t="s">
        <v>100</v>
      </c>
      <c r="D251" s="51" t="s">
        <v>128</v>
      </c>
      <c r="E251" s="52" t="n">
        <v>17</v>
      </c>
      <c r="F251" s="52" t="n">
        <v>14</v>
      </c>
      <c r="G251" s="52" t="n">
        <v>0</v>
      </c>
      <c r="H251" s="52" t="n">
        <v>0</v>
      </c>
      <c r="I251" s="52" t="n">
        <v>14</v>
      </c>
      <c r="J251" s="52" t="n">
        <v>31</v>
      </c>
    </row>
    <row r="252" customFormat="false" ht="15" hidden="false" customHeight="false" outlineLevel="0" collapsed="false">
      <c r="A252" s="49" t="s">
        <v>145</v>
      </c>
      <c r="B252" s="49" t="n">
        <v>285</v>
      </c>
      <c r="C252" s="49" t="s">
        <v>97</v>
      </c>
      <c r="D252" s="49" t="s">
        <v>102</v>
      </c>
      <c r="E252" s="50" t="n">
        <v>27</v>
      </c>
      <c r="F252" s="50" t="n">
        <v>2</v>
      </c>
      <c r="G252" s="50" t="n">
        <v>0</v>
      </c>
      <c r="H252" s="50" t="n">
        <v>4</v>
      </c>
      <c r="I252" s="50" t="n">
        <v>0</v>
      </c>
      <c r="J252" s="50" t="n">
        <v>29</v>
      </c>
    </row>
    <row r="253" customFormat="false" ht="15" hidden="false" customHeight="false" outlineLevel="0" collapsed="false">
      <c r="A253" s="53" t="s">
        <v>145</v>
      </c>
      <c r="B253" s="53" t="n">
        <v>321</v>
      </c>
      <c r="C253" s="53" t="s">
        <v>104</v>
      </c>
      <c r="D253" s="53" t="s">
        <v>105</v>
      </c>
      <c r="E253" s="54" t="n">
        <v>26</v>
      </c>
      <c r="F253" s="54" t="n">
        <v>0</v>
      </c>
      <c r="G253" s="54" t="n">
        <v>0</v>
      </c>
      <c r="H253" s="54" t="n">
        <v>5</v>
      </c>
      <c r="I253" s="54" t="n">
        <v>0</v>
      </c>
      <c r="J253" s="54" t="n">
        <v>26</v>
      </c>
    </row>
    <row r="254" customFormat="false" ht="15" hidden="false" customHeight="false" outlineLevel="0" collapsed="false">
      <c r="A254" s="49" t="s">
        <v>145</v>
      </c>
      <c r="B254" s="49" t="n">
        <v>427</v>
      </c>
      <c r="C254" s="49" t="s">
        <v>100</v>
      </c>
      <c r="D254" s="49" t="s">
        <v>119</v>
      </c>
      <c r="E254" s="50" t="n">
        <v>17</v>
      </c>
      <c r="F254" s="50" t="n">
        <v>14</v>
      </c>
      <c r="G254" s="50" t="n">
        <v>0</v>
      </c>
      <c r="H254" s="50" t="n">
        <v>0</v>
      </c>
      <c r="I254" s="50" t="n">
        <v>14</v>
      </c>
      <c r="J254" s="50" t="n">
        <v>31</v>
      </c>
    </row>
    <row r="255" customFormat="false" ht="15" hidden="false" customHeight="false" outlineLevel="0" collapsed="false">
      <c r="A255" s="47" t="s">
        <v>145</v>
      </c>
      <c r="B255" s="47" t="n">
        <v>439</v>
      </c>
      <c r="C255" s="47" t="s">
        <v>97</v>
      </c>
      <c r="D255" s="47" t="s">
        <v>139</v>
      </c>
      <c r="E255" s="48" t="n">
        <v>26</v>
      </c>
      <c r="F255" s="48" t="n">
        <v>2</v>
      </c>
      <c r="G255" s="48" t="n">
        <v>0</v>
      </c>
      <c r="H255" s="48" t="n">
        <v>5</v>
      </c>
      <c r="I255" s="48" t="n">
        <v>0</v>
      </c>
      <c r="J255" s="48" t="n">
        <v>28</v>
      </c>
    </row>
    <row r="256" customFormat="false" ht="15" hidden="false" customHeight="false" outlineLevel="0" collapsed="false">
      <c r="A256" s="49" t="s">
        <v>145</v>
      </c>
      <c r="B256" s="49" t="n">
        <v>799</v>
      </c>
      <c r="C256" s="49" t="s">
        <v>97</v>
      </c>
      <c r="D256" s="49" t="s">
        <v>136</v>
      </c>
      <c r="E256" s="50" t="n">
        <v>22</v>
      </c>
      <c r="F256" s="50" t="n">
        <v>0</v>
      </c>
      <c r="G256" s="50" t="n">
        <v>5</v>
      </c>
      <c r="H256" s="50" t="n">
        <v>4</v>
      </c>
      <c r="I256" s="50" t="n">
        <v>0</v>
      </c>
      <c r="J256" s="50" t="n">
        <v>22</v>
      </c>
    </row>
    <row r="257" customFormat="false" ht="15" hidden="false" customHeight="false" outlineLevel="0" collapsed="false">
      <c r="A257" s="47" t="s">
        <v>145</v>
      </c>
      <c r="B257" s="47" t="n">
        <v>8</v>
      </c>
      <c r="C257" s="47" t="s">
        <v>97</v>
      </c>
      <c r="D257" s="47" t="s">
        <v>107</v>
      </c>
      <c r="E257" s="48" t="n">
        <v>26</v>
      </c>
      <c r="F257" s="48" t="n">
        <v>1</v>
      </c>
      <c r="G257" s="48" t="n">
        <v>1</v>
      </c>
      <c r="H257" s="48" t="n">
        <v>4</v>
      </c>
      <c r="I257" s="48" t="n">
        <v>0</v>
      </c>
      <c r="J257" s="48" t="n">
        <v>27</v>
      </c>
    </row>
    <row r="258" customFormat="false" ht="15" hidden="false" customHeight="false" outlineLevel="0" collapsed="false">
      <c r="A258" s="49" t="s">
        <v>145</v>
      </c>
      <c r="B258" s="49" t="n">
        <v>9</v>
      </c>
      <c r="C258" s="49" t="s">
        <v>97</v>
      </c>
      <c r="D258" s="49" t="s">
        <v>141</v>
      </c>
      <c r="E258" s="50" t="n">
        <v>26</v>
      </c>
      <c r="F258" s="50" t="n">
        <v>3</v>
      </c>
      <c r="G258" s="50" t="n">
        <v>0</v>
      </c>
      <c r="H258" s="50" t="n">
        <v>5</v>
      </c>
      <c r="I258" s="50" t="n">
        <v>0</v>
      </c>
      <c r="J258" s="50" t="n">
        <v>29</v>
      </c>
    </row>
    <row r="259" customFormat="false" ht="15" hidden="false" customHeight="false" outlineLevel="0" collapsed="false">
      <c r="A259" s="47" t="s">
        <v>145</v>
      </c>
      <c r="B259" s="47" t="n">
        <v>98</v>
      </c>
      <c r="C259" s="47" t="s">
        <v>97</v>
      </c>
      <c r="D259" s="47" t="s">
        <v>108</v>
      </c>
      <c r="E259" s="48" t="n">
        <v>23</v>
      </c>
      <c r="F259" s="48" t="n">
        <v>2</v>
      </c>
      <c r="G259" s="48" t="n">
        <v>4</v>
      </c>
      <c r="H259" s="48" t="n">
        <v>4</v>
      </c>
      <c r="I259" s="48" t="n">
        <v>0</v>
      </c>
      <c r="J259" s="48" t="n">
        <v>25</v>
      </c>
    </row>
    <row r="260" customFormat="false" ht="15" hidden="false" customHeight="false" outlineLevel="0" collapsed="false">
      <c r="A260" s="49" t="s">
        <v>146</v>
      </c>
      <c r="B260" s="49"/>
      <c r="C260" s="49" t="s">
        <v>100</v>
      </c>
      <c r="D260" s="49" t="s">
        <v>128</v>
      </c>
      <c r="E260" s="50" t="n">
        <v>15</v>
      </c>
      <c r="F260" s="50" t="n">
        <v>15</v>
      </c>
      <c r="G260" s="50" t="n">
        <v>0</v>
      </c>
      <c r="H260" s="50" t="n">
        <v>0</v>
      </c>
      <c r="I260" s="50" t="n">
        <v>15</v>
      </c>
      <c r="J260" s="50" t="n">
        <v>30</v>
      </c>
    </row>
    <row r="261" customFormat="false" ht="15" hidden="false" customHeight="false" outlineLevel="0" collapsed="false">
      <c r="A261" s="47" t="s">
        <v>146</v>
      </c>
      <c r="B261" s="47" t="n">
        <v>285</v>
      </c>
      <c r="C261" s="47" t="s">
        <v>97</v>
      </c>
      <c r="D261" s="47" t="s">
        <v>102</v>
      </c>
      <c r="E261" s="48" t="n">
        <v>24</v>
      </c>
      <c r="F261" s="48" t="n">
        <v>7</v>
      </c>
      <c r="G261" s="48" t="n">
        <v>2</v>
      </c>
      <c r="H261" s="48" t="n">
        <v>4</v>
      </c>
      <c r="I261" s="48" t="n">
        <v>0</v>
      </c>
      <c r="J261" s="48" t="n">
        <v>31</v>
      </c>
    </row>
    <row r="262" customFormat="false" ht="15" hidden="false" customHeight="false" outlineLevel="0" collapsed="false">
      <c r="A262" s="49" t="s">
        <v>146</v>
      </c>
      <c r="B262" s="49" t="n">
        <v>321</v>
      </c>
      <c r="C262" s="49" t="s">
        <v>104</v>
      </c>
      <c r="D262" s="49" t="s">
        <v>105</v>
      </c>
      <c r="E262" s="50" t="n">
        <v>26</v>
      </c>
      <c r="F262" s="50" t="n">
        <v>0</v>
      </c>
      <c r="G262" s="50" t="n">
        <v>0</v>
      </c>
      <c r="H262" s="50" t="n">
        <v>4</v>
      </c>
      <c r="I262" s="50" t="n">
        <v>0</v>
      </c>
      <c r="J262" s="50" t="n">
        <v>26</v>
      </c>
    </row>
    <row r="263" customFormat="false" ht="15" hidden="false" customHeight="false" outlineLevel="0" collapsed="false">
      <c r="A263" s="51" t="s">
        <v>146</v>
      </c>
      <c r="B263" s="51" t="n">
        <v>427</v>
      </c>
      <c r="C263" s="51" t="s">
        <v>100</v>
      </c>
      <c r="D263" s="51" t="s">
        <v>119</v>
      </c>
      <c r="E263" s="52" t="n">
        <v>15</v>
      </c>
      <c r="F263" s="52" t="n">
        <v>15</v>
      </c>
      <c r="G263" s="52" t="n">
        <v>0</v>
      </c>
      <c r="H263" s="52" t="n">
        <v>0</v>
      </c>
      <c r="I263" s="52" t="n">
        <v>15</v>
      </c>
      <c r="J263" s="52" t="n">
        <v>30</v>
      </c>
    </row>
    <row r="264" customFormat="false" ht="15" hidden="false" customHeight="false" outlineLevel="0" collapsed="false">
      <c r="A264" s="49" t="s">
        <v>146</v>
      </c>
      <c r="B264" s="49" t="n">
        <v>439</v>
      </c>
      <c r="C264" s="49" t="s">
        <v>97</v>
      </c>
      <c r="D264" s="49" t="s">
        <v>139</v>
      </c>
      <c r="E264" s="50" t="n">
        <v>26</v>
      </c>
      <c r="F264" s="50" t="n">
        <v>8</v>
      </c>
      <c r="G264" s="50" t="n">
        <v>0</v>
      </c>
      <c r="H264" s="50" t="n">
        <v>4</v>
      </c>
      <c r="I264" s="50" t="n">
        <v>0</v>
      </c>
      <c r="J264" s="50" t="n">
        <v>34</v>
      </c>
    </row>
    <row r="265" customFormat="false" ht="15" hidden="false" customHeight="false" outlineLevel="0" collapsed="false">
      <c r="A265" s="47" t="s">
        <v>146</v>
      </c>
      <c r="B265" s="47" t="n">
        <v>799</v>
      </c>
      <c r="C265" s="47" t="s">
        <v>97</v>
      </c>
      <c r="D265" s="47" t="s">
        <v>136</v>
      </c>
      <c r="E265" s="48" t="n">
        <v>25</v>
      </c>
      <c r="F265" s="48" t="n">
        <v>5</v>
      </c>
      <c r="G265" s="48" t="n">
        <v>0</v>
      </c>
      <c r="H265" s="48" t="n">
        <v>5</v>
      </c>
      <c r="I265" s="48" t="n">
        <v>0</v>
      </c>
      <c r="J265" s="48" t="n">
        <v>30</v>
      </c>
    </row>
    <row r="266" customFormat="false" ht="15" hidden="false" customHeight="false" outlineLevel="0" collapsed="false">
      <c r="A266" s="49" t="s">
        <v>146</v>
      </c>
      <c r="B266" s="49" t="n">
        <v>8</v>
      </c>
      <c r="C266" s="49" t="s">
        <v>97</v>
      </c>
      <c r="D266" s="49" t="s">
        <v>107</v>
      </c>
      <c r="E266" s="50" t="n">
        <v>21</v>
      </c>
      <c r="F266" s="50" t="n">
        <v>5</v>
      </c>
      <c r="G266" s="50" t="n">
        <v>4</v>
      </c>
      <c r="H266" s="50" t="n">
        <v>5</v>
      </c>
      <c r="I266" s="50" t="n">
        <v>0</v>
      </c>
      <c r="J266" s="50" t="n">
        <v>26</v>
      </c>
    </row>
    <row r="267" customFormat="false" ht="15" hidden="false" customHeight="false" outlineLevel="0" collapsed="false">
      <c r="A267" s="47" t="s">
        <v>146</v>
      </c>
      <c r="B267" s="47" t="n">
        <v>9</v>
      </c>
      <c r="C267" s="47" t="s">
        <v>97</v>
      </c>
      <c r="D267" s="47" t="s">
        <v>141</v>
      </c>
      <c r="E267" s="48" t="n">
        <v>26</v>
      </c>
      <c r="F267" s="48" t="n">
        <v>7</v>
      </c>
      <c r="G267" s="48" t="n">
        <v>0</v>
      </c>
      <c r="H267" s="48" t="n">
        <v>4</v>
      </c>
      <c r="I267" s="48" t="n">
        <v>0</v>
      </c>
      <c r="J267" s="48" t="n">
        <v>33</v>
      </c>
    </row>
    <row r="268" customFormat="false" ht="15" hidden="false" customHeight="false" outlineLevel="0" collapsed="false">
      <c r="A268" s="49" t="s">
        <v>146</v>
      </c>
      <c r="B268" s="49" t="n">
        <v>98</v>
      </c>
      <c r="C268" s="49" t="s">
        <v>97</v>
      </c>
      <c r="D268" s="49" t="s">
        <v>108</v>
      </c>
      <c r="E268" s="50" t="n">
        <v>0</v>
      </c>
      <c r="F268" s="50" t="n">
        <v>0</v>
      </c>
      <c r="G268" s="50" t="n">
        <v>26</v>
      </c>
      <c r="H268" s="50" t="n">
        <v>4</v>
      </c>
      <c r="I268" s="50" t="n">
        <v>0</v>
      </c>
      <c r="J268" s="50" t="n">
        <v>0</v>
      </c>
    </row>
    <row r="269" customFormat="false" ht="15" hidden="false" customHeight="false" outlineLevel="0" collapsed="false">
      <c r="A269" s="51" t="s">
        <v>147</v>
      </c>
      <c r="B269" s="51"/>
      <c r="C269" s="51" t="s">
        <v>100</v>
      </c>
      <c r="D269" s="51" t="s">
        <v>128</v>
      </c>
      <c r="E269" s="52" t="n">
        <v>20</v>
      </c>
      <c r="F269" s="52" t="n">
        <v>7</v>
      </c>
      <c r="G269" s="52" t="n">
        <v>1</v>
      </c>
      <c r="H269" s="52" t="n">
        <v>0</v>
      </c>
      <c r="I269" s="52" t="n">
        <v>10</v>
      </c>
      <c r="J269" s="52" t="n">
        <v>27</v>
      </c>
    </row>
    <row r="270" customFormat="false" ht="15" hidden="false" customHeight="false" outlineLevel="0" collapsed="false">
      <c r="A270" s="49" t="s">
        <v>147</v>
      </c>
      <c r="B270" s="49" t="n">
        <v>285</v>
      </c>
      <c r="C270" s="49" t="s">
        <v>97</v>
      </c>
      <c r="D270" s="49" t="s">
        <v>102</v>
      </c>
      <c r="E270" s="50" t="n">
        <v>26</v>
      </c>
      <c r="F270" s="50" t="n">
        <v>4</v>
      </c>
      <c r="G270" s="50" t="n">
        <v>0</v>
      </c>
      <c r="H270" s="50" t="n">
        <v>5</v>
      </c>
      <c r="I270" s="50" t="n">
        <v>0</v>
      </c>
      <c r="J270" s="50" t="n">
        <v>30</v>
      </c>
    </row>
    <row r="271" customFormat="false" ht="15" hidden="false" customHeight="false" outlineLevel="0" collapsed="false">
      <c r="A271" s="53" t="s">
        <v>147</v>
      </c>
      <c r="B271" s="53" t="n">
        <v>321</v>
      </c>
      <c r="C271" s="53" t="s">
        <v>104</v>
      </c>
      <c r="D271" s="53" t="s">
        <v>105</v>
      </c>
      <c r="E271" s="54" t="n">
        <v>27</v>
      </c>
      <c r="F271" s="54" t="n">
        <v>0</v>
      </c>
      <c r="G271" s="54" t="n">
        <v>0</v>
      </c>
      <c r="H271" s="54" t="n">
        <v>4</v>
      </c>
      <c r="I271" s="54" t="n">
        <v>0</v>
      </c>
      <c r="J271" s="54" t="n">
        <v>27</v>
      </c>
    </row>
    <row r="272" customFormat="false" ht="15" hidden="false" customHeight="false" outlineLevel="0" collapsed="false">
      <c r="A272" s="49" t="s">
        <v>147</v>
      </c>
      <c r="B272" s="49" t="n">
        <v>427</v>
      </c>
      <c r="C272" s="49" t="s">
        <v>100</v>
      </c>
      <c r="D272" s="49" t="s">
        <v>119</v>
      </c>
      <c r="E272" s="50" t="n">
        <v>22</v>
      </c>
      <c r="F272" s="50" t="n">
        <v>9</v>
      </c>
      <c r="G272" s="50" t="n">
        <v>0</v>
      </c>
      <c r="H272" s="50" t="n">
        <v>0</v>
      </c>
      <c r="I272" s="50" t="n">
        <v>9</v>
      </c>
      <c r="J272" s="50" t="n">
        <v>31</v>
      </c>
    </row>
    <row r="273" customFormat="false" ht="15" hidden="false" customHeight="false" outlineLevel="0" collapsed="false">
      <c r="A273" s="47" t="s">
        <v>147</v>
      </c>
      <c r="B273" s="47" t="n">
        <v>439</v>
      </c>
      <c r="C273" s="47" t="s">
        <v>97</v>
      </c>
      <c r="D273" s="47" t="s">
        <v>139</v>
      </c>
      <c r="E273" s="48" t="n">
        <v>26</v>
      </c>
      <c r="F273" s="48" t="n">
        <v>4</v>
      </c>
      <c r="G273" s="48" t="n">
        <v>0</v>
      </c>
      <c r="H273" s="48" t="n">
        <v>5</v>
      </c>
      <c r="I273" s="48" t="n">
        <v>0</v>
      </c>
      <c r="J273" s="48" t="n">
        <v>30</v>
      </c>
    </row>
    <row r="274" customFormat="false" ht="15" hidden="false" customHeight="false" outlineLevel="0" collapsed="false">
      <c r="A274" s="49" t="s">
        <v>147</v>
      </c>
      <c r="B274" s="49" t="n">
        <v>799</v>
      </c>
      <c r="C274" s="49" t="s">
        <v>97</v>
      </c>
      <c r="D274" s="49" t="s">
        <v>136</v>
      </c>
      <c r="E274" s="50" t="n">
        <v>20</v>
      </c>
      <c r="F274" s="50" t="n">
        <v>1</v>
      </c>
      <c r="G274" s="50" t="n">
        <v>7</v>
      </c>
      <c r="H274" s="50" t="n">
        <v>4</v>
      </c>
      <c r="I274" s="50" t="n">
        <v>0</v>
      </c>
      <c r="J274" s="50" t="n">
        <v>21</v>
      </c>
    </row>
    <row r="275" customFormat="false" ht="15" hidden="false" customHeight="false" outlineLevel="0" collapsed="false">
      <c r="A275" s="47" t="s">
        <v>147</v>
      </c>
      <c r="B275" s="47" t="n">
        <v>8</v>
      </c>
      <c r="C275" s="47" t="s">
        <v>97</v>
      </c>
      <c r="D275" s="47" t="s">
        <v>107</v>
      </c>
      <c r="E275" s="48" t="n">
        <v>25</v>
      </c>
      <c r="F275" s="48" t="n">
        <v>2</v>
      </c>
      <c r="G275" s="48" t="n">
        <v>2</v>
      </c>
      <c r="H275" s="48" t="n">
        <v>4</v>
      </c>
      <c r="I275" s="48" t="n">
        <v>0</v>
      </c>
      <c r="J275" s="48" t="n">
        <v>27</v>
      </c>
    </row>
    <row r="276" customFormat="false" ht="15" hidden="false" customHeight="false" outlineLevel="0" collapsed="false">
      <c r="A276" s="49" t="s">
        <v>147</v>
      </c>
      <c r="B276" s="49" t="n">
        <v>868</v>
      </c>
      <c r="C276" s="49" t="s">
        <v>100</v>
      </c>
      <c r="D276" s="49" t="s">
        <v>148</v>
      </c>
      <c r="E276" s="50" t="n">
        <v>28</v>
      </c>
      <c r="F276" s="50" t="n">
        <v>2</v>
      </c>
      <c r="G276" s="50" t="n">
        <v>0</v>
      </c>
      <c r="H276" s="50" t="n">
        <v>0</v>
      </c>
      <c r="I276" s="50" t="n">
        <v>3</v>
      </c>
      <c r="J276" s="50" t="n">
        <v>30</v>
      </c>
    </row>
    <row r="277" customFormat="false" ht="15" hidden="false" customHeight="false" outlineLevel="0" collapsed="false">
      <c r="A277" s="47" t="s">
        <v>147</v>
      </c>
      <c r="B277" s="47" t="n">
        <v>9</v>
      </c>
      <c r="C277" s="47" t="s">
        <v>97</v>
      </c>
      <c r="D277" s="47" t="s">
        <v>141</v>
      </c>
      <c r="E277" s="48" t="n">
        <v>27</v>
      </c>
      <c r="F277" s="48" t="n">
        <v>2</v>
      </c>
      <c r="G277" s="48" t="n">
        <v>0</v>
      </c>
      <c r="H277" s="48" t="n">
        <v>4</v>
      </c>
      <c r="I277" s="48" t="n">
        <v>0</v>
      </c>
      <c r="J277" s="48" t="n">
        <v>29</v>
      </c>
    </row>
    <row r="278" customFormat="false" ht="15" hidden="false" customHeight="false" outlineLevel="0" collapsed="false">
      <c r="A278" s="49" t="s">
        <v>147</v>
      </c>
      <c r="B278" s="49" t="n">
        <v>98</v>
      </c>
      <c r="C278" s="49" t="s">
        <v>97</v>
      </c>
      <c r="D278" s="49" t="s">
        <v>108</v>
      </c>
      <c r="E278" s="50" t="n">
        <v>19</v>
      </c>
      <c r="F278" s="50" t="n">
        <v>3</v>
      </c>
      <c r="G278" s="50" t="n">
        <v>9</v>
      </c>
      <c r="H278" s="50" t="n">
        <v>3</v>
      </c>
      <c r="I278" s="50" t="n">
        <v>0</v>
      </c>
      <c r="J278" s="50" t="n">
        <v>22</v>
      </c>
    </row>
    <row r="279" customFormat="false" ht="15" hidden="false" customHeight="false" outlineLevel="0" collapsed="false">
      <c r="A279" s="51" t="s">
        <v>149</v>
      </c>
      <c r="B279" s="51"/>
      <c r="C279" s="51" t="s">
        <v>100</v>
      </c>
      <c r="D279" s="51" t="s">
        <v>150</v>
      </c>
      <c r="E279" s="52" t="n">
        <v>24</v>
      </c>
      <c r="F279" s="52" t="n">
        <v>1</v>
      </c>
      <c r="G279" s="52" t="n">
        <v>0</v>
      </c>
      <c r="H279" s="52" t="n">
        <v>0</v>
      </c>
      <c r="I279" s="52" t="n">
        <v>6</v>
      </c>
      <c r="J279" s="52" t="n">
        <v>25</v>
      </c>
    </row>
    <row r="280" customFormat="false" ht="15" hidden="false" customHeight="false" outlineLevel="0" collapsed="false">
      <c r="A280" s="49" t="s">
        <v>149</v>
      </c>
      <c r="B280" s="49"/>
      <c r="C280" s="49" t="s">
        <v>100</v>
      </c>
      <c r="D280" s="49" t="s">
        <v>128</v>
      </c>
      <c r="E280" s="50" t="n">
        <v>24</v>
      </c>
      <c r="F280" s="50" t="n">
        <v>1</v>
      </c>
      <c r="G280" s="50" t="n">
        <v>0</v>
      </c>
      <c r="H280" s="50" t="n">
        <v>0</v>
      </c>
      <c r="I280" s="50" t="n">
        <v>6</v>
      </c>
      <c r="J280" s="50" t="n">
        <v>25</v>
      </c>
    </row>
    <row r="281" customFormat="false" ht="15" hidden="false" customHeight="false" outlineLevel="0" collapsed="false">
      <c r="A281" s="47" t="s">
        <v>149</v>
      </c>
      <c r="B281" s="47" t="n">
        <v>285</v>
      </c>
      <c r="C281" s="47" t="s">
        <v>97</v>
      </c>
      <c r="D281" s="47" t="s">
        <v>102</v>
      </c>
      <c r="E281" s="48" t="n">
        <v>26</v>
      </c>
      <c r="F281" s="48" t="n">
        <v>2</v>
      </c>
      <c r="G281" s="48" t="n">
        <v>0</v>
      </c>
      <c r="H281" s="48" t="n">
        <v>4</v>
      </c>
      <c r="I281" s="48" t="n">
        <v>0</v>
      </c>
      <c r="J281" s="48" t="n">
        <v>28</v>
      </c>
    </row>
    <row r="282" customFormat="false" ht="15" hidden="false" customHeight="false" outlineLevel="0" collapsed="false">
      <c r="A282" s="49" t="s">
        <v>149</v>
      </c>
      <c r="B282" s="49" t="n">
        <v>321</v>
      </c>
      <c r="C282" s="49" t="s">
        <v>104</v>
      </c>
      <c r="D282" s="49" t="s">
        <v>105</v>
      </c>
      <c r="E282" s="50" t="n">
        <v>25</v>
      </c>
      <c r="F282" s="50" t="n">
        <v>0</v>
      </c>
      <c r="G282" s="50" t="n">
        <v>0</v>
      </c>
      <c r="H282" s="50" t="n">
        <v>5</v>
      </c>
      <c r="I282" s="50" t="n">
        <v>0</v>
      </c>
      <c r="J282" s="50" t="n">
        <v>25</v>
      </c>
    </row>
    <row r="283" customFormat="false" ht="15" hidden="false" customHeight="false" outlineLevel="0" collapsed="false">
      <c r="A283" s="51" t="s">
        <v>149</v>
      </c>
      <c r="B283" s="51" t="n">
        <v>427</v>
      </c>
      <c r="C283" s="51" t="s">
        <v>100</v>
      </c>
      <c r="D283" s="51" t="s">
        <v>119</v>
      </c>
      <c r="E283" s="52" t="n">
        <v>25</v>
      </c>
      <c r="F283" s="52" t="n">
        <v>0</v>
      </c>
      <c r="G283" s="52" t="n">
        <v>0</v>
      </c>
      <c r="H283" s="52" t="n">
        <v>0</v>
      </c>
      <c r="I283" s="52" t="n">
        <v>5</v>
      </c>
      <c r="J283" s="52" t="n">
        <v>25</v>
      </c>
    </row>
    <row r="284" customFormat="false" ht="15" hidden="false" customHeight="false" outlineLevel="0" collapsed="false">
      <c r="A284" s="49" t="s">
        <v>149</v>
      </c>
      <c r="B284" s="49" t="n">
        <v>439</v>
      </c>
      <c r="C284" s="49" t="s">
        <v>97</v>
      </c>
      <c r="D284" s="49" t="s">
        <v>139</v>
      </c>
      <c r="E284" s="50" t="n">
        <v>26</v>
      </c>
      <c r="F284" s="50" t="n">
        <v>1</v>
      </c>
      <c r="G284" s="50" t="n">
        <v>0</v>
      </c>
      <c r="H284" s="50" t="n">
        <v>4</v>
      </c>
      <c r="I284" s="50" t="n">
        <v>0</v>
      </c>
      <c r="J284" s="50" t="n">
        <v>27</v>
      </c>
    </row>
    <row r="285" customFormat="false" ht="15" hidden="false" customHeight="false" outlineLevel="0" collapsed="false">
      <c r="A285" s="47" t="s">
        <v>149</v>
      </c>
      <c r="B285" s="47" t="n">
        <v>799</v>
      </c>
      <c r="C285" s="47" t="s">
        <v>97</v>
      </c>
      <c r="D285" s="47" t="s">
        <v>136</v>
      </c>
      <c r="E285" s="48" t="n">
        <v>23</v>
      </c>
      <c r="F285" s="48" t="n">
        <v>0</v>
      </c>
      <c r="G285" s="48" t="n">
        <v>3</v>
      </c>
      <c r="H285" s="48" t="n">
        <v>4</v>
      </c>
      <c r="I285" s="48" t="n">
        <v>0</v>
      </c>
      <c r="J285" s="48" t="n">
        <v>23</v>
      </c>
    </row>
    <row r="286" customFormat="false" ht="15" hidden="false" customHeight="false" outlineLevel="0" collapsed="false">
      <c r="A286" s="49" t="s">
        <v>149</v>
      </c>
      <c r="B286" s="49" t="n">
        <v>8</v>
      </c>
      <c r="C286" s="49" t="s">
        <v>97</v>
      </c>
      <c r="D286" s="49" t="s">
        <v>107</v>
      </c>
      <c r="E286" s="50" t="n">
        <v>22</v>
      </c>
      <c r="F286" s="50" t="n">
        <v>1</v>
      </c>
      <c r="G286" s="50" t="n">
        <v>4</v>
      </c>
      <c r="H286" s="50" t="n">
        <v>4</v>
      </c>
      <c r="I286" s="50" t="n">
        <v>0</v>
      </c>
      <c r="J286" s="50" t="n">
        <v>23</v>
      </c>
    </row>
    <row r="287" customFormat="false" ht="15" hidden="false" customHeight="false" outlineLevel="0" collapsed="false">
      <c r="A287" s="47" t="s">
        <v>149</v>
      </c>
      <c r="B287" s="47" t="n">
        <v>9</v>
      </c>
      <c r="C287" s="47" t="s">
        <v>97</v>
      </c>
      <c r="D287" s="47" t="s">
        <v>141</v>
      </c>
      <c r="E287" s="48" t="n">
        <v>26</v>
      </c>
      <c r="F287" s="48" t="n">
        <v>1</v>
      </c>
      <c r="G287" s="48" t="n">
        <v>0</v>
      </c>
      <c r="H287" s="48" t="n">
        <v>3</v>
      </c>
      <c r="I287" s="48" t="n">
        <v>0</v>
      </c>
      <c r="J287" s="48" t="n">
        <v>27</v>
      </c>
    </row>
    <row r="288" customFormat="false" ht="15" hidden="false" customHeight="false" outlineLevel="0" collapsed="false">
      <c r="A288" s="49" t="s">
        <v>149</v>
      </c>
      <c r="B288" s="49" t="n">
        <v>98</v>
      </c>
      <c r="C288" s="49" t="s">
        <v>97</v>
      </c>
      <c r="D288" s="49" t="s">
        <v>108</v>
      </c>
      <c r="E288" s="50" t="n">
        <v>26</v>
      </c>
      <c r="F288" s="50" t="n">
        <v>2</v>
      </c>
      <c r="G288" s="50" t="n">
        <v>0</v>
      </c>
      <c r="H288" s="50" t="n">
        <v>4</v>
      </c>
      <c r="I288" s="50" t="n">
        <v>0</v>
      </c>
      <c r="J288" s="50" t="n">
        <v>28</v>
      </c>
    </row>
    <row r="289" customFormat="false" ht="15" hidden="false" customHeight="false" outlineLevel="0" collapsed="false">
      <c r="A289" s="51" t="s">
        <v>151</v>
      </c>
      <c r="B289" s="51"/>
      <c r="C289" s="51" t="s">
        <v>100</v>
      </c>
      <c r="D289" s="51" t="s">
        <v>128</v>
      </c>
      <c r="E289" s="52" t="n">
        <v>25</v>
      </c>
      <c r="F289" s="52" t="n">
        <v>2</v>
      </c>
      <c r="G289" s="52" t="n">
        <v>0</v>
      </c>
      <c r="H289" s="52" t="n">
        <v>0</v>
      </c>
      <c r="I289" s="52" t="n">
        <v>6</v>
      </c>
      <c r="J289" s="52" t="n">
        <v>27</v>
      </c>
    </row>
    <row r="290" customFormat="false" ht="15" hidden="false" customHeight="false" outlineLevel="0" collapsed="false">
      <c r="A290" s="49" t="s">
        <v>151</v>
      </c>
      <c r="B290" s="49" t="n">
        <v>285</v>
      </c>
      <c r="C290" s="49" t="s">
        <v>97</v>
      </c>
      <c r="D290" s="49" t="s">
        <v>102</v>
      </c>
      <c r="E290" s="50" t="n">
        <v>27</v>
      </c>
      <c r="F290" s="50" t="n">
        <v>4</v>
      </c>
      <c r="G290" s="50" t="n">
        <v>0</v>
      </c>
      <c r="H290" s="50" t="n">
        <v>4</v>
      </c>
      <c r="I290" s="50" t="n">
        <v>0</v>
      </c>
      <c r="J290" s="50" t="n">
        <v>31</v>
      </c>
    </row>
    <row r="291" customFormat="false" ht="15" hidden="false" customHeight="false" outlineLevel="0" collapsed="false">
      <c r="A291" s="53" t="s">
        <v>151</v>
      </c>
      <c r="B291" s="53" t="n">
        <v>321</v>
      </c>
      <c r="C291" s="53" t="s">
        <v>104</v>
      </c>
      <c r="D291" s="53" t="s">
        <v>105</v>
      </c>
      <c r="E291" s="54" t="n">
        <v>27</v>
      </c>
      <c r="F291" s="54" t="n">
        <v>0</v>
      </c>
      <c r="G291" s="54" t="n">
        <v>0</v>
      </c>
      <c r="H291" s="54" t="n">
        <v>4</v>
      </c>
      <c r="I291" s="54" t="n">
        <v>0</v>
      </c>
      <c r="J291" s="54" t="n">
        <v>27</v>
      </c>
    </row>
    <row r="292" customFormat="false" ht="15" hidden="false" customHeight="false" outlineLevel="0" collapsed="false">
      <c r="A292" s="49" t="s">
        <v>151</v>
      </c>
      <c r="B292" s="49" t="n">
        <v>427</v>
      </c>
      <c r="C292" s="49" t="s">
        <v>100</v>
      </c>
      <c r="D292" s="49" t="s">
        <v>119</v>
      </c>
      <c r="E292" s="50" t="n">
        <v>23</v>
      </c>
      <c r="F292" s="50" t="n">
        <v>3</v>
      </c>
      <c r="G292" s="50" t="n">
        <v>0</v>
      </c>
      <c r="H292" s="50" t="n">
        <v>0</v>
      </c>
      <c r="I292" s="50" t="n">
        <v>8</v>
      </c>
      <c r="J292" s="50" t="n">
        <v>26</v>
      </c>
    </row>
    <row r="293" customFormat="false" ht="15" hidden="false" customHeight="false" outlineLevel="0" collapsed="false">
      <c r="A293" s="47" t="s">
        <v>151</v>
      </c>
      <c r="B293" s="47" t="n">
        <v>439</v>
      </c>
      <c r="C293" s="47" t="s">
        <v>97</v>
      </c>
      <c r="D293" s="47" t="s">
        <v>139</v>
      </c>
      <c r="E293" s="48" t="n">
        <v>27</v>
      </c>
      <c r="F293" s="48" t="n">
        <v>4</v>
      </c>
      <c r="G293" s="48" t="n">
        <v>0</v>
      </c>
      <c r="H293" s="48" t="n">
        <v>4</v>
      </c>
      <c r="I293" s="48" t="n">
        <v>0</v>
      </c>
      <c r="J293" s="48" t="n">
        <v>31</v>
      </c>
    </row>
    <row r="294" customFormat="false" ht="15" hidden="false" customHeight="false" outlineLevel="0" collapsed="false">
      <c r="A294" s="49" t="s">
        <v>151</v>
      </c>
      <c r="B294" s="49" t="n">
        <v>799</v>
      </c>
      <c r="C294" s="49" t="s">
        <v>97</v>
      </c>
      <c r="D294" s="49" t="s">
        <v>136</v>
      </c>
      <c r="E294" s="50" t="n">
        <v>17</v>
      </c>
      <c r="F294" s="50" t="n">
        <v>0</v>
      </c>
      <c r="G294" s="50" t="n">
        <v>10</v>
      </c>
      <c r="H294" s="50" t="n">
        <v>4</v>
      </c>
      <c r="I294" s="50" t="n">
        <v>0</v>
      </c>
      <c r="J294" s="50" t="n">
        <v>17</v>
      </c>
    </row>
    <row r="295" customFormat="false" ht="15" hidden="false" customHeight="false" outlineLevel="0" collapsed="false">
      <c r="A295" s="47" t="s">
        <v>151</v>
      </c>
      <c r="B295" s="47" t="n">
        <v>8</v>
      </c>
      <c r="C295" s="47" t="s">
        <v>97</v>
      </c>
      <c r="D295" s="47" t="s">
        <v>107</v>
      </c>
      <c r="E295" s="48" t="n">
        <v>22</v>
      </c>
      <c r="F295" s="48" t="n">
        <v>0</v>
      </c>
      <c r="G295" s="48" t="n">
        <v>5</v>
      </c>
      <c r="H295" s="48" t="n">
        <v>4</v>
      </c>
      <c r="I295" s="48" t="n">
        <v>0</v>
      </c>
      <c r="J295" s="48" t="n">
        <v>22</v>
      </c>
    </row>
    <row r="296" customFormat="false" ht="15" hidden="false" customHeight="false" outlineLevel="0" collapsed="false">
      <c r="A296" s="49" t="s">
        <v>151</v>
      </c>
      <c r="B296" s="49" t="n">
        <v>868</v>
      </c>
      <c r="C296" s="49" t="s">
        <v>100</v>
      </c>
      <c r="D296" s="49" t="s">
        <v>148</v>
      </c>
      <c r="E296" s="50" t="n">
        <v>21</v>
      </c>
      <c r="F296" s="50" t="n">
        <v>4</v>
      </c>
      <c r="G296" s="50" t="n">
        <v>0</v>
      </c>
      <c r="H296" s="50" t="n">
        <v>0</v>
      </c>
      <c r="I296" s="50" t="n">
        <v>9</v>
      </c>
      <c r="J296" s="50" t="n">
        <v>25</v>
      </c>
    </row>
    <row r="297" customFormat="false" ht="15" hidden="false" customHeight="false" outlineLevel="0" collapsed="false">
      <c r="A297" s="47" t="s">
        <v>151</v>
      </c>
      <c r="B297" s="47" t="n">
        <v>9</v>
      </c>
      <c r="C297" s="47" t="s">
        <v>97</v>
      </c>
      <c r="D297" s="47" t="s">
        <v>141</v>
      </c>
      <c r="E297" s="48" t="n">
        <v>27</v>
      </c>
      <c r="F297" s="48" t="n">
        <v>4</v>
      </c>
      <c r="G297" s="48" t="n">
        <v>0</v>
      </c>
      <c r="H297" s="48" t="n">
        <v>4</v>
      </c>
      <c r="I297" s="48" t="n">
        <v>0</v>
      </c>
      <c r="J297" s="48" t="n">
        <v>31</v>
      </c>
    </row>
    <row r="298" customFormat="false" ht="15" hidden="false" customHeight="false" outlineLevel="0" collapsed="false">
      <c r="A298" s="49" t="s">
        <v>151</v>
      </c>
      <c r="B298" s="49" t="n">
        <v>98</v>
      </c>
      <c r="C298" s="49" t="s">
        <v>97</v>
      </c>
      <c r="D298" s="49" t="s">
        <v>108</v>
      </c>
      <c r="E298" s="50" t="n">
        <v>26</v>
      </c>
      <c r="F298" s="50" t="n">
        <v>4</v>
      </c>
      <c r="G298" s="50" t="n">
        <v>1</v>
      </c>
      <c r="H298" s="50" t="n">
        <v>4</v>
      </c>
      <c r="I298" s="50" t="n">
        <v>0</v>
      </c>
      <c r="J298" s="50" t="n">
        <v>30</v>
      </c>
    </row>
    <row r="299" customFormat="false" ht="15" hidden="false" customHeight="false" outlineLevel="0" collapsed="false">
      <c r="A299" s="47" t="s">
        <v>152</v>
      </c>
      <c r="B299" s="47" t="n">
        <v>285</v>
      </c>
      <c r="C299" s="47" t="s">
        <v>97</v>
      </c>
      <c r="D299" s="47" t="s">
        <v>102</v>
      </c>
      <c r="E299" s="48" t="n">
        <v>17</v>
      </c>
      <c r="F299" s="48" t="n">
        <v>5</v>
      </c>
      <c r="G299" s="48" t="n">
        <v>9</v>
      </c>
      <c r="H299" s="48" t="n">
        <v>5</v>
      </c>
      <c r="I299" s="48" t="n">
        <v>0</v>
      </c>
      <c r="J299" s="48" t="n">
        <v>22</v>
      </c>
    </row>
    <row r="300" customFormat="false" ht="15" hidden="false" customHeight="false" outlineLevel="0" collapsed="false">
      <c r="A300" s="49" t="s">
        <v>152</v>
      </c>
      <c r="B300" s="49" t="n">
        <v>321</v>
      </c>
      <c r="C300" s="49" t="s">
        <v>104</v>
      </c>
      <c r="D300" s="49" t="s">
        <v>105</v>
      </c>
      <c r="E300" s="50" t="n">
        <v>27</v>
      </c>
      <c r="F300" s="50" t="n">
        <v>0</v>
      </c>
      <c r="G300" s="50" t="n">
        <v>0</v>
      </c>
      <c r="H300" s="50" t="n">
        <v>4</v>
      </c>
      <c r="I300" s="50" t="n">
        <v>0</v>
      </c>
      <c r="J300" s="50" t="n">
        <v>27</v>
      </c>
    </row>
    <row r="301" customFormat="false" ht="15" hidden="false" customHeight="false" outlineLevel="0" collapsed="false">
      <c r="A301" s="51" t="s">
        <v>152</v>
      </c>
      <c r="B301" s="51" t="n">
        <v>427</v>
      </c>
      <c r="C301" s="51" t="s">
        <v>100</v>
      </c>
      <c r="D301" s="51" t="s">
        <v>119</v>
      </c>
      <c r="E301" s="52" t="n">
        <v>26</v>
      </c>
      <c r="F301" s="52" t="n">
        <v>0</v>
      </c>
      <c r="G301" s="52" t="n">
        <v>0</v>
      </c>
      <c r="H301" s="52" t="n">
        <v>0</v>
      </c>
      <c r="I301" s="52" t="n">
        <v>5</v>
      </c>
      <c r="J301" s="52" t="n">
        <v>26</v>
      </c>
    </row>
    <row r="302" customFormat="false" ht="15" hidden="false" customHeight="false" outlineLevel="0" collapsed="false">
      <c r="A302" s="49" t="s">
        <v>152</v>
      </c>
      <c r="B302" s="49" t="n">
        <v>439</v>
      </c>
      <c r="C302" s="49" t="s">
        <v>97</v>
      </c>
      <c r="D302" s="49" t="s">
        <v>139</v>
      </c>
      <c r="E302" s="50" t="n">
        <v>27</v>
      </c>
      <c r="F302" s="50" t="n">
        <v>10</v>
      </c>
      <c r="G302" s="50" t="n">
        <v>0</v>
      </c>
      <c r="H302" s="50" t="n">
        <v>4</v>
      </c>
      <c r="I302" s="50" t="n">
        <v>0</v>
      </c>
      <c r="J302" s="50" t="n">
        <v>37</v>
      </c>
    </row>
    <row r="303" customFormat="false" ht="15" hidden="false" customHeight="false" outlineLevel="0" collapsed="false">
      <c r="A303" s="51" t="s">
        <v>152</v>
      </c>
      <c r="B303" s="51" t="n">
        <v>454</v>
      </c>
      <c r="C303" s="51" t="s">
        <v>100</v>
      </c>
      <c r="D303" s="51" t="s">
        <v>128</v>
      </c>
      <c r="E303" s="52" t="n">
        <v>25</v>
      </c>
      <c r="F303" s="52" t="n">
        <v>0</v>
      </c>
      <c r="G303" s="52" t="n">
        <v>0</v>
      </c>
      <c r="H303" s="52" t="n">
        <v>0</v>
      </c>
      <c r="I303" s="52" t="n">
        <v>6</v>
      </c>
      <c r="J303" s="52" t="n">
        <v>25</v>
      </c>
    </row>
    <row r="304" customFormat="false" ht="15" hidden="false" customHeight="false" outlineLevel="0" collapsed="false">
      <c r="A304" s="49" t="s">
        <v>152</v>
      </c>
      <c r="B304" s="49" t="n">
        <v>799</v>
      </c>
      <c r="C304" s="49" t="s">
        <v>97</v>
      </c>
      <c r="D304" s="49" t="s">
        <v>136</v>
      </c>
      <c r="E304" s="50" t="n">
        <v>24</v>
      </c>
      <c r="F304" s="50" t="n">
        <v>2</v>
      </c>
      <c r="G304" s="50" t="n">
        <v>3</v>
      </c>
      <c r="H304" s="50" t="n">
        <v>4</v>
      </c>
      <c r="I304" s="50" t="n">
        <v>0</v>
      </c>
      <c r="J304" s="50" t="n">
        <v>26</v>
      </c>
    </row>
    <row r="305" customFormat="false" ht="15" hidden="false" customHeight="false" outlineLevel="0" collapsed="false">
      <c r="A305" s="47" t="s">
        <v>152</v>
      </c>
      <c r="B305" s="47" t="n">
        <v>8</v>
      </c>
      <c r="C305" s="47" t="s">
        <v>97</v>
      </c>
      <c r="D305" s="47" t="s">
        <v>107</v>
      </c>
      <c r="E305" s="48" t="n">
        <v>25</v>
      </c>
      <c r="F305" s="48" t="n">
        <v>6</v>
      </c>
      <c r="G305" s="48" t="n">
        <v>2</v>
      </c>
      <c r="H305" s="48" t="n">
        <v>4</v>
      </c>
      <c r="I305" s="48" t="n">
        <v>0</v>
      </c>
      <c r="J305" s="48" t="n">
        <v>31</v>
      </c>
    </row>
    <row r="306" customFormat="false" ht="15" hidden="false" customHeight="false" outlineLevel="0" collapsed="false">
      <c r="A306" s="49" t="s">
        <v>152</v>
      </c>
      <c r="B306" s="49" t="n">
        <v>868</v>
      </c>
      <c r="C306" s="49" t="s">
        <v>100</v>
      </c>
      <c r="D306" s="49" t="s">
        <v>153</v>
      </c>
      <c r="E306" s="50" t="n">
        <v>25</v>
      </c>
      <c r="F306" s="50" t="n">
        <v>0</v>
      </c>
      <c r="G306" s="50" t="n">
        <v>0</v>
      </c>
      <c r="H306" s="50" t="n">
        <v>0</v>
      </c>
      <c r="I306" s="50" t="n">
        <v>6</v>
      </c>
      <c r="J306" s="50" t="n">
        <v>25</v>
      </c>
    </row>
    <row r="307" customFormat="false" ht="15" hidden="false" customHeight="false" outlineLevel="0" collapsed="false">
      <c r="A307" s="47" t="s">
        <v>152</v>
      </c>
      <c r="B307" s="47" t="n">
        <v>9</v>
      </c>
      <c r="C307" s="47" t="s">
        <v>97</v>
      </c>
      <c r="D307" s="47" t="s">
        <v>141</v>
      </c>
      <c r="E307" s="48" t="n">
        <v>27</v>
      </c>
      <c r="F307" s="48" t="n">
        <v>9</v>
      </c>
      <c r="G307" s="48" t="n">
        <v>0</v>
      </c>
      <c r="H307" s="48" t="n">
        <v>4</v>
      </c>
      <c r="I307" s="48" t="n">
        <v>0</v>
      </c>
      <c r="J307" s="48" t="n">
        <v>36</v>
      </c>
    </row>
    <row r="308" customFormat="false" ht="15" hidden="false" customHeight="false" outlineLevel="0" collapsed="false">
      <c r="A308" s="49" t="s">
        <v>152</v>
      </c>
      <c r="B308" s="49" t="n">
        <v>98</v>
      </c>
      <c r="C308" s="49" t="s">
        <v>97</v>
      </c>
      <c r="D308" s="49" t="s">
        <v>108</v>
      </c>
      <c r="E308" s="50" t="n">
        <v>6</v>
      </c>
      <c r="F308" s="50" t="n">
        <v>3</v>
      </c>
      <c r="G308" s="50" t="n">
        <v>21</v>
      </c>
      <c r="H308" s="50" t="n">
        <v>4</v>
      </c>
      <c r="I308" s="50" t="n">
        <v>0</v>
      </c>
      <c r="J308" s="50" t="n">
        <v>9</v>
      </c>
    </row>
  </sheetData>
  <autoFilter ref="A6:J308"/>
  <mergeCells count="2">
    <mergeCell ref="B2:R2"/>
    <mergeCell ref="B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28D9"/>
    <pageSetUpPr fitToPage="fals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154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155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19.5" hidden="false" customHeight="true" outlineLevel="0" collapsed="false">
      <c r="A6" s="46" t="s">
        <v>86</v>
      </c>
      <c r="B6" s="46" t="s">
        <v>156</v>
      </c>
      <c r="C6" s="46" t="s">
        <v>157</v>
      </c>
      <c r="D6" s="46" t="s">
        <v>158</v>
      </c>
      <c r="E6" s="46" t="s">
        <v>91</v>
      </c>
      <c r="F6" s="46" t="s">
        <v>92</v>
      </c>
      <c r="G6" s="46" t="s">
        <v>94</v>
      </c>
      <c r="H6" s="46" t="s">
        <v>159</v>
      </c>
      <c r="I6" s="46" t="s">
        <v>160</v>
      </c>
    </row>
    <row r="7" customFormat="false" ht="15" hidden="false" customHeight="false" outlineLevel="0" collapsed="false">
      <c r="A7" s="55" t="s">
        <v>96</v>
      </c>
      <c r="B7" s="55" t="n">
        <v>9</v>
      </c>
      <c r="C7" s="55" t="n">
        <v>0</v>
      </c>
      <c r="D7" s="55" t="n">
        <v>0</v>
      </c>
      <c r="E7" s="55" t="n">
        <v>32</v>
      </c>
      <c r="F7" s="55" t="n">
        <v>0</v>
      </c>
      <c r="G7" s="55" t="n">
        <v>0</v>
      </c>
      <c r="H7" s="56" t="s">
        <v>161</v>
      </c>
      <c r="I7" s="55" t="n">
        <v>0</v>
      </c>
    </row>
    <row r="8" customFormat="false" ht="15" hidden="false" customHeight="false" outlineLevel="0" collapsed="false">
      <c r="A8" s="57" t="s">
        <v>109</v>
      </c>
      <c r="B8" s="57" t="n">
        <v>9</v>
      </c>
      <c r="C8" s="57" t="n">
        <v>0</v>
      </c>
      <c r="D8" s="57" t="n">
        <v>0</v>
      </c>
      <c r="E8" s="57" t="n">
        <v>53</v>
      </c>
      <c r="F8" s="57" t="n">
        <v>0</v>
      </c>
      <c r="G8" s="57" t="n">
        <v>0</v>
      </c>
      <c r="H8" s="58" t="s">
        <v>161</v>
      </c>
      <c r="I8" s="57" t="n">
        <v>0</v>
      </c>
    </row>
    <row r="9" customFormat="false" ht="15" hidden="false" customHeight="false" outlineLevel="0" collapsed="false">
      <c r="A9" s="55" t="s">
        <v>110</v>
      </c>
      <c r="B9" s="55" t="n">
        <v>9</v>
      </c>
      <c r="C9" s="55" t="n">
        <v>0</v>
      </c>
      <c r="D9" s="55" t="n">
        <v>0</v>
      </c>
      <c r="E9" s="55" t="n">
        <v>28</v>
      </c>
      <c r="F9" s="55" t="n">
        <v>0</v>
      </c>
      <c r="G9" s="55" t="n">
        <v>0</v>
      </c>
      <c r="H9" s="56" t="s">
        <v>161</v>
      </c>
      <c r="I9" s="55" t="n">
        <v>0</v>
      </c>
    </row>
    <row r="10" customFormat="false" ht="15" hidden="false" customHeight="false" outlineLevel="0" collapsed="false">
      <c r="A10" s="57" t="s">
        <v>111</v>
      </c>
      <c r="B10" s="57" t="n">
        <v>9</v>
      </c>
      <c r="C10" s="57" t="n">
        <v>0</v>
      </c>
      <c r="D10" s="57" t="n">
        <v>0</v>
      </c>
      <c r="E10" s="57" t="n">
        <v>24</v>
      </c>
      <c r="F10" s="57" t="n">
        <v>0</v>
      </c>
      <c r="G10" s="57" t="n">
        <v>0</v>
      </c>
      <c r="H10" s="58" t="s">
        <v>161</v>
      </c>
      <c r="I10" s="57" t="n">
        <v>0</v>
      </c>
    </row>
    <row r="11" customFormat="false" ht="15" hidden="false" customHeight="false" outlineLevel="0" collapsed="false">
      <c r="A11" s="55" t="s">
        <v>112</v>
      </c>
      <c r="B11" s="55" t="n">
        <v>9</v>
      </c>
      <c r="C11" s="55" t="n">
        <v>0</v>
      </c>
      <c r="D11" s="55" t="n">
        <v>0</v>
      </c>
      <c r="E11" s="55" t="n">
        <v>32</v>
      </c>
      <c r="F11" s="55" t="n">
        <v>0</v>
      </c>
      <c r="G11" s="55" t="n">
        <v>0</v>
      </c>
      <c r="H11" s="56" t="s">
        <v>161</v>
      </c>
      <c r="I11" s="55" t="n">
        <v>0</v>
      </c>
    </row>
    <row r="12" customFormat="false" ht="15" hidden="false" customHeight="false" outlineLevel="0" collapsed="false">
      <c r="A12" s="57" t="s">
        <v>113</v>
      </c>
      <c r="B12" s="57" t="n">
        <v>9</v>
      </c>
      <c r="C12" s="57" t="n">
        <v>0</v>
      </c>
      <c r="D12" s="57" t="n">
        <v>0</v>
      </c>
      <c r="E12" s="57" t="n">
        <v>25</v>
      </c>
      <c r="F12" s="57" t="n">
        <v>0</v>
      </c>
      <c r="G12" s="57" t="n">
        <v>0</v>
      </c>
      <c r="H12" s="58" t="s">
        <v>161</v>
      </c>
      <c r="I12" s="57" t="n">
        <v>0</v>
      </c>
    </row>
    <row r="13" customFormat="false" ht="15" hidden="false" customHeight="false" outlineLevel="0" collapsed="false">
      <c r="A13" s="55" t="s">
        <v>114</v>
      </c>
      <c r="B13" s="55" t="n">
        <v>9</v>
      </c>
      <c r="C13" s="55" t="n">
        <v>0</v>
      </c>
      <c r="D13" s="55" t="n">
        <v>0</v>
      </c>
      <c r="E13" s="55" t="n">
        <v>29</v>
      </c>
      <c r="F13" s="55" t="n">
        <v>0</v>
      </c>
      <c r="G13" s="55" t="n">
        <v>0</v>
      </c>
      <c r="H13" s="56" t="s">
        <v>161</v>
      </c>
      <c r="I13" s="55" t="n">
        <v>0</v>
      </c>
    </row>
    <row r="14" customFormat="false" ht="15" hidden="false" customHeight="false" outlineLevel="0" collapsed="false">
      <c r="A14" s="57" t="s">
        <v>115</v>
      </c>
      <c r="B14" s="57" t="n">
        <v>10</v>
      </c>
      <c r="C14" s="57" t="n">
        <v>0</v>
      </c>
      <c r="D14" s="57" t="n">
        <v>0</v>
      </c>
      <c r="E14" s="57" t="n">
        <v>39</v>
      </c>
      <c r="F14" s="57" t="n">
        <v>0</v>
      </c>
      <c r="G14" s="57" t="n">
        <v>0</v>
      </c>
      <c r="H14" s="58" t="s">
        <v>161</v>
      </c>
      <c r="I14" s="57" t="n">
        <v>0</v>
      </c>
    </row>
    <row r="15" customFormat="false" ht="15" hidden="false" customHeight="false" outlineLevel="0" collapsed="false">
      <c r="A15" s="55" t="s">
        <v>117</v>
      </c>
      <c r="B15" s="55" t="n">
        <v>9</v>
      </c>
      <c r="C15" s="55" t="n">
        <v>0</v>
      </c>
      <c r="D15" s="55" t="n">
        <v>0</v>
      </c>
      <c r="E15" s="55" t="n">
        <v>31</v>
      </c>
      <c r="F15" s="55" t="n">
        <v>0</v>
      </c>
      <c r="G15" s="55" t="n">
        <v>0</v>
      </c>
      <c r="H15" s="56" t="s">
        <v>161</v>
      </c>
      <c r="I15" s="55" t="n">
        <v>0</v>
      </c>
    </row>
    <row r="16" customFormat="false" ht="15" hidden="false" customHeight="false" outlineLevel="0" collapsed="false">
      <c r="A16" s="57" t="s">
        <v>118</v>
      </c>
      <c r="B16" s="57" t="n">
        <v>10</v>
      </c>
      <c r="C16" s="57" t="n">
        <v>0</v>
      </c>
      <c r="D16" s="57" t="n">
        <v>0</v>
      </c>
      <c r="E16" s="57" t="n">
        <v>48</v>
      </c>
      <c r="F16" s="57" t="n">
        <v>0</v>
      </c>
      <c r="G16" s="57" t="n">
        <v>0</v>
      </c>
      <c r="H16" s="58" t="s">
        <v>161</v>
      </c>
      <c r="I16" s="57" t="n">
        <v>0</v>
      </c>
    </row>
    <row r="17" customFormat="false" ht="15" hidden="false" customHeight="false" outlineLevel="0" collapsed="false">
      <c r="A17" s="55" t="s">
        <v>120</v>
      </c>
      <c r="B17" s="55" t="n">
        <v>9</v>
      </c>
      <c r="C17" s="55" t="n">
        <v>0</v>
      </c>
      <c r="D17" s="55" t="n">
        <v>0</v>
      </c>
      <c r="E17" s="55" t="n">
        <v>42</v>
      </c>
      <c r="F17" s="55" t="n">
        <v>0</v>
      </c>
      <c r="G17" s="55" t="n">
        <v>0</v>
      </c>
      <c r="H17" s="56" t="s">
        <v>161</v>
      </c>
      <c r="I17" s="55" t="n">
        <v>0</v>
      </c>
    </row>
    <row r="18" customFormat="false" ht="15" hidden="false" customHeight="false" outlineLevel="0" collapsed="false">
      <c r="A18" s="57" t="s">
        <v>122</v>
      </c>
      <c r="B18" s="57" t="n">
        <v>9</v>
      </c>
      <c r="C18" s="57" t="n">
        <v>0</v>
      </c>
      <c r="D18" s="57" t="n">
        <v>0</v>
      </c>
      <c r="E18" s="57" t="n">
        <v>0</v>
      </c>
      <c r="F18" s="57" t="n">
        <v>0</v>
      </c>
      <c r="G18" s="57" t="n">
        <v>0</v>
      </c>
      <c r="H18" s="58" t="s">
        <v>161</v>
      </c>
      <c r="I18" s="57" t="n">
        <v>0</v>
      </c>
    </row>
    <row r="19" customFormat="false" ht="15" hidden="false" customHeight="false" outlineLevel="0" collapsed="false">
      <c r="A19" s="55" t="s">
        <v>123</v>
      </c>
      <c r="B19" s="55" t="n">
        <v>9</v>
      </c>
      <c r="C19" s="55" t="n">
        <v>215</v>
      </c>
      <c r="D19" s="55" t="n">
        <v>23.9</v>
      </c>
      <c r="E19" s="55" t="n">
        <v>33</v>
      </c>
      <c r="F19" s="55" t="n">
        <v>7</v>
      </c>
      <c r="G19" s="55" t="n">
        <v>31</v>
      </c>
      <c r="H19" s="59" t="s">
        <v>162</v>
      </c>
      <c r="I19" s="55" t="n">
        <v>1720</v>
      </c>
    </row>
    <row r="20" customFormat="false" ht="15" hidden="false" customHeight="false" outlineLevel="0" collapsed="false">
      <c r="A20" s="57" t="s">
        <v>124</v>
      </c>
      <c r="B20" s="57" t="n">
        <v>10</v>
      </c>
      <c r="C20" s="57" t="n">
        <v>181</v>
      </c>
      <c r="D20" s="57" t="n">
        <v>18.1</v>
      </c>
      <c r="E20" s="57" t="n">
        <v>57</v>
      </c>
      <c r="F20" s="57" t="n">
        <v>41</v>
      </c>
      <c r="G20" s="57" t="n">
        <v>46</v>
      </c>
      <c r="H20" s="58" t="s">
        <v>163</v>
      </c>
      <c r="I20" s="57" t="n">
        <v>1448</v>
      </c>
    </row>
    <row r="21" customFormat="false" ht="15" hidden="false" customHeight="false" outlineLevel="0" collapsed="false">
      <c r="A21" s="55" t="s">
        <v>127</v>
      </c>
      <c r="B21" s="55" t="n">
        <v>10</v>
      </c>
      <c r="C21" s="55" t="n">
        <v>212</v>
      </c>
      <c r="D21" s="55" t="n">
        <v>21.2</v>
      </c>
      <c r="E21" s="55" t="n">
        <v>30</v>
      </c>
      <c r="F21" s="55" t="n">
        <v>35</v>
      </c>
      <c r="G21" s="55" t="n">
        <v>28</v>
      </c>
      <c r="H21" s="60" t="s">
        <v>164</v>
      </c>
      <c r="I21" s="55" t="n">
        <v>1696</v>
      </c>
    </row>
    <row r="22" customFormat="false" ht="15" hidden="false" customHeight="false" outlineLevel="0" collapsed="false">
      <c r="A22" s="57" t="s">
        <v>129</v>
      </c>
      <c r="B22" s="57" t="n">
        <v>8</v>
      </c>
      <c r="C22" s="57" t="n">
        <v>162</v>
      </c>
      <c r="D22" s="57" t="n">
        <v>20.2</v>
      </c>
      <c r="E22" s="57" t="n">
        <v>51</v>
      </c>
      <c r="F22" s="57" t="n">
        <v>2</v>
      </c>
      <c r="G22" s="57" t="n">
        <v>58</v>
      </c>
      <c r="H22" s="61" t="s">
        <v>165</v>
      </c>
      <c r="I22" s="57" t="n">
        <v>1296</v>
      </c>
    </row>
    <row r="23" customFormat="false" ht="15" hidden="false" customHeight="false" outlineLevel="0" collapsed="false">
      <c r="A23" s="55" t="s">
        <v>130</v>
      </c>
      <c r="B23" s="55" t="n">
        <v>8</v>
      </c>
      <c r="C23" s="55" t="n">
        <v>155</v>
      </c>
      <c r="D23" s="55" t="n">
        <v>19.4</v>
      </c>
      <c r="E23" s="55" t="n">
        <v>48</v>
      </c>
      <c r="F23" s="55" t="n">
        <v>2</v>
      </c>
      <c r="G23" s="55" t="n">
        <v>54</v>
      </c>
      <c r="H23" s="56" t="s">
        <v>166</v>
      </c>
      <c r="I23" s="55" t="n">
        <v>1240</v>
      </c>
    </row>
    <row r="24" customFormat="false" ht="15" hidden="false" customHeight="false" outlineLevel="0" collapsed="false">
      <c r="A24" s="57" t="s">
        <v>131</v>
      </c>
      <c r="B24" s="57" t="n">
        <v>8</v>
      </c>
      <c r="C24" s="57" t="n">
        <v>152</v>
      </c>
      <c r="D24" s="57" t="n">
        <v>19</v>
      </c>
      <c r="E24" s="57" t="n">
        <v>58</v>
      </c>
      <c r="F24" s="57" t="n">
        <v>12</v>
      </c>
      <c r="G24" s="57" t="n">
        <v>56</v>
      </c>
      <c r="H24" s="58" t="s">
        <v>167</v>
      </c>
      <c r="I24" s="57" t="n">
        <v>1216</v>
      </c>
    </row>
    <row r="25" customFormat="false" ht="15" hidden="false" customHeight="false" outlineLevel="0" collapsed="false">
      <c r="A25" s="55" t="s">
        <v>132</v>
      </c>
      <c r="B25" s="55" t="n">
        <v>9</v>
      </c>
      <c r="C25" s="55" t="n">
        <v>186</v>
      </c>
      <c r="D25" s="55" t="n">
        <v>20.7</v>
      </c>
      <c r="E25" s="55" t="n">
        <v>55</v>
      </c>
      <c r="F25" s="55" t="n">
        <v>1</v>
      </c>
      <c r="G25" s="55" t="n">
        <v>55</v>
      </c>
      <c r="H25" s="60" t="s">
        <v>168</v>
      </c>
      <c r="I25" s="55" t="n">
        <v>1488</v>
      </c>
    </row>
    <row r="26" customFormat="false" ht="15" hidden="false" customHeight="false" outlineLevel="0" collapsed="false">
      <c r="A26" s="57" t="s">
        <v>133</v>
      </c>
      <c r="B26" s="57" t="n">
        <v>9</v>
      </c>
      <c r="C26" s="57" t="n">
        <v>203</v>
      </c>
      <c r="D26" s="57" t="n">
        <v>22.6</v>
      </c>
      <c r="E26" s="57" t="n">
        <v>44</v>
      </c>
      <c r="F26" s="57" t="n">
        <v>1</v>
      </c>
      <c r="G26" s="57" t="n">
        <v>41</v>
      </c>
      <c r="H26" s="61" t="s">
        <v>169</v>
      </c>
      <c r="I26" s="57" t="n">
        <v>1624</v>
      </c>
    </row>
    <row r="27" customFormat="false" ht="15" hidden="false" customHeight="false" outlineLevel="0" collapsed="false">
      <c r="A27" s="55" t="s">
        <v>135</v>
      </c>
      <c r="B27" s="55" t="n">
        <v>10</v>
      </c>
      <c r="C27" s="55" t="n">
        <v>190</v>
      </c>
      <c r="D27" s="55" t="n">
        <v>19</v>
      </c>
      <c r="E27" s="55" t="n">
        <v>58</v>
      </c>
      <c r="F27" s="55" t="n">
        <v>23</v>
      </c>
      <c r="G27" s="55" t="n">
        <v>66</v>
      </c>
      <c r="H27" s="56" t="s">
        <v>167</v>
      </c>
      <c r="I27" s="55" t="n">
        <v>1520</v>
      </c>
    </row>
    <row r="28" customFormat="false" ht="15" hidden="false" customHeight="false" outlineLevel="0" collapsed="false">
      <c r="A28" s="57" t="s">
        <v>137</v>
      </c>
      <c r="B28" s="57" t="n">
        <v>9</v>
      </c>
      <c r="C28" s="57" t="n">
        <v>174</v>
      </c>
      <c r="D28" s="57" t="n">
        <v>19.3</v>
      </c>
      <c r="E28" s="57" t="n">
        <v>46</v>
      </c>
      <c r="F28" s="57" t="n">
        <v>25</v>
      </c>
      <c r="G28" s="57" t="n">
        <v>27</v>
      </c>
      <c r="H28" s="58" t="s">
        <v>170</v>
      </c>
      <c r="I28" s="57" t="n">
        <v>1392</v>
      </c>
    </row>
    <row r="29" customFormat="false" ht="15" hidden="false" customHeight="false" outlineLevel="0" collapsed="false">
      <c r="A29" s="55" t="s">
        <v>138</v>
      </c>
      <c r="B29" s="55" t="n">
        <v>9</v>
      </c>
      <c r="C29" s="55" t="n">
        <v>183</v>
      </c>
      <c r="D29" s="55" t="n">
        <v>20.3</v>
      </c>
      <c r="E29" s="55" t="n">
        <v>61</v>
      </c>
      <c r="F29" s="55" t="n">
        <v>33</v>
      </c>
      <c r="G29" s="55" t="n">
        <v>28</v>
      </c>
      <c r="H29" s="60" t="s">
        <v>171</v>
      </c>
      <c r="I29" s="55" t="n">
        <v>1464</v>
      </c>
    </row>
    <row r="30" customFormat="false" ht="15" hidden="false" customHeight="false" outlineLevel="0" collapsed="false">
      <c r="A30" s="57" t="s">
        <v>140</v>
      </c>
      <c r="B30" s="57" t="n">
        <v>9</v>
      </c>
      <c r="C30" s="57" t="n">
        <v>172</v>
      </c>
      <c r="D30" s="57" t="n">
        <v>19.1</v>
      </c>
      <c r="E30" s="57" t="n">
        <v>69</v>
      </c>
      <c r="F30" s="57" t="n">
        <v>38</v>
      </c>
      <c r="G30" s="57" t="n">
        <v>30</v>
      </c>
      <c r="H30" s="58" t="s">
        <v>172</v>
      </c>
      <c r="I30" s="57" t="n">
        <v>1376</v>
      </c>
    </row>
    <row r="31" customFormat="false" ht="15" hidden="false" customHeight="false" outlineLevel="0" collapsed="false">
      <c r="A31" s="55" t="s">
        <v>142</v>
      </c>
      <c r="B31" s="55" t="n">
        <v>9</v>
      </c>
      <c r="C31" s="55" t="n">
        <v>200</v>
      </c>
      <c r="D31" s="55" t="n">
        <v>22.2</v>
      </c>
      <c r="E31" s="55" t="n">
        <v>68</v>
      </c>
      <c r="F31" s="55" t="n">
        <v>19</v>
      </c>
      <c r="G31" s="55" t="n">
        <v>30</v>
      </c>
      <c r="H31" s="60" t="s">
        <v>173</v>
      </c>
      <c r="I31" s="55" t="n">
        <v>1600</v>
      </c>
    </row>
    <row r="32" customFormat="false" ht="15" hidden="false" customHeight="false" outlineLevel="0" collapsed="false">
      <c r="A32" s="57" t="s">
        <v>143</v>
      </c>
      <c r="B32" s="57" t="n">
        <v>8</v>
      </c>
      <c r="C32" s="57" t="n">
        <v>185</v>
      </c>
      <c r="D32" s="57" t="n">
        <v>23.1</v>
      </c>
      <c r="E32" s="57" t="n">
        <v>29</v>
      </c>
      <c r="F32" s="57" t="n">
        <v>10</v>
      </c>
      <c r="G32" s="57" t="n">
        <v>14</v>
      </c>
      <c r="H32" s="61" t="s">
        <v>174</v>
      </c>
      <c r="I32" s="57" t="n">
        <v>1480</v>
      </c>
    </row>
    <row r="33" customFormat="false" ht="15" hidden="false" customHeight="false" outlineLevel="0" collapsed="false">
      <c r="A33" s="55" t="s">
        <v>144</v>
      </c>
      <c r="B33" s="55" t="n">
        <v>9</v>
      </c>
      <c r="C33" s="55" t="n">
        <v>203</v>
      </c>
      <c r="D33" s="55" t="n">
        <v>22.6</v>
      </c>
      <c r="E33" s="55" t="n">
        <v>44</v>
      </c>
      <c r="F33" s="55" t="n">
        <v>16</v>
      </c>
      <c r="G33" s="55" t="n">
        <v>30</v>
      </c>
      <c r="H33" s="60" t="s">
        <v>169</v>
      </c>
      <c r="I33" s="55" t="n">
        <v>1624</v>
      </c>
    </row>
    <row r="34" customFormat="false" ht="15" hidden="false" customHeight="false" outlineLevel="0" collapsed="false">
      <c r="A34" s="57" t="s">
        <v>145</v>
      </c>
      <c r="B34" s="57" t="n">
        <v>9</v>
      </c>
      <c r="C34" s="57" t="n">
        <v>210</v>
      </c>
      <c r="D34" s="57" t="n">
        <v>23.3</v>
      </c>
      <c r="E34" s="57" t="n">
        <v>38</v>
      </c>
      <c r="F34" s="57" t="n">
        <v>10</v>
      </c>
      <c r="G34" s="57" t="n">
        <v>28</v>
      </c>
      <c r="H34" s="61" t="s">
        <v>175</v>
      </c>
      <c r="I34" s="57" t="n">
        <v>1680</v>
      </c>
    </row>
    <row r="35" customFormat="false" ht="15" hidden="false" customHeight="false" outlineLevel="0" collapsed="false">
      <c r="A35" s="55" t="s">
        <v>146</v>
      </c>
      <c r="B35" s="55" t="n">
        <v>9</v>
      </c>
      <c r="C35" s="55" t="n">
        <v>178</v>
      </c>
      <c r="D35" s="55" t="n">
        <v>19.8</v>
      </c>
      <c r="E35" s="55" t="n">
        <v>62</v>
      </c>
      <c r="F35" s="55" t="n">
        <v>32</v>
      </c>
      <c r="G35" s="55" t="n">
        <v>30</v>
      </c>
      <c r="H35" s="60" t="s">
        <v>176</v>
      </c>
      <c r="I35" s="55" t="n">
        <v>1424</v>
      </c>
    </row>
    <row r="36" customFormat="false" ht="15" hidden="false" customHeight="false" outlineLevel="0" collapsed="false">
      <c r="A36" s="57" t="s">
        <v>147</v>
      </c>
      <c r="B36" s="57" t="n">
        <v>10</v>
      </c>
      <c r="C36" s="57" t="n">
        <v>240</v>
      </c>
      <c r="D36" s="57" t="n">
        <v>24</v>
      </c>
      <c r="E36" s="57" t="n">
        <v>34</v>
      </c>
      <c r="F36" s="57" t="n">
        <v>19</v>
      </c>
      <c r="G36" s="57" t="n">
        <v>22</v>
      </c>
      <c r="H36" s="62" t="s">
        <v>177</v>
      </c>
      <c r="I36" s="57" t="n">
        <v>1920</v>
      </c>
    </row>
    <row r="37" customFormat="false" ht="15" hidden="false" customHeight="false" outlineLevel="0" collapsed="false">
      <c r="A37" s="55" t="s">
        <v>149</v>
      </c>
      <c r="B37" s="55" t="n">
        <v>10</v>
      </c>
      <c r="C37" s="55" t="n">
        <v>247</v>
      </c>
      <c r="D37" s="55" t="n">
        <v>24.7</v>
      </c>
      <c r="E37" s="55" t="n">
        <v>9</v>
      </c>
      <c r="F37" s="55" t="n">
        <v>7</v>
      </c>
      <c r="G37" s="55" t="n">
        <v>17</v>
      </c>
      <c r="H37" s="59" t="s">
        <v>178</v>
      </c>
      <c r="I37" s="55" t="n">
        <v>1976</v>
      </c>
    </row>
    <row r="38" customFormat="false" ht="15" hidden="false" customHeight="false" outlineLevel="0" collapsed="false">
      <c r="A38" s="57" t="s">
        <v>151</v>
      </c>
      <c r="B38" s="57" t="n">
        <v>10</v>
      </c>
      <c r="C38" s="57" t="n">
        <v>242</v>
      </c>
      <c r="D38" s="57" t="n">
        <v>24.2</v>
      </c>
      <c r="E38" s="57" t="n">
        <v>25</v>
      </c>
      <c r="F38" s="57" t="n">
        <v>16</v>
      </c>
      <c r="G38" s="57" t="n">
        <v>23</v>
      </c>
      <c r="H38" s="62" t="s">
        <v>179</v>
      </c>
      <c r="I38" s="57" t="n">
        <v>1936</v>
      </c>
    </row>
    <row r="39" customFormat="false" ht="15" hidden="false" customHeight="false" outlineLevel="0" collapsed="false">
      <c r="A39" s="55" t="s">
        <v>152</v>
      </c>
      <c r="B39" s="55" t="n">
        <v>10</v>
      </c>
      <c r="C39" s="55" t="n">
        <v>229</v>
      </c>
      <c r="D39" s="55" t="n">
        <v>22.9</v>
      </c>
      <c r="E39" s="55" t="n">
        <v>35</v>
      </c>
      <c r="F39" s="55" t="n">
        <v>35</v>
      </c>
      <c r="G39" s="55" t="n">
        <v>17</v>
      </c>
      <c r="H39" s="60" t="s">
        <v>180</v>
      </c>
      <c r="I39" s="55" t="n">
        <v>1832</v>
      </c>
    </row>
  </sheetData>
  <mergeCells count="2">
    <mergeCell ref="B2:R2"/>
    <mergeCell ref="B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2" min="11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181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182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19.5" hidden="false" customHeight="true" outlineLevel="0" collapsed="false">
      <c r="A6" s="46" t="s">
        <v>87</v>
      </c>
      <c r="B6" s="46" t="s">
        <v>183</v>
      </c>
      <c r="C6" s="46" t="s">
        <v>88</v>
      </c>
      <c r="D6" s="46" t="s">
        <v>184</v>
      </c>
      <c r="E6" s="46" t="s">
        <v>157</v>
      </c>
      <c r="F6" s="46" t="s">
        <v>185</v>
      </c>
      <c r="G6" s="46" t="s">
        <v>186</v>
      </c>
      <c r="H6" s="46" t="s">
        <v>187</v>
      </c>
      <c r="I6" s="46" t="s">
        <v>188</v>
      </c>
      <c r="J6" s="46" t="s">
        <v>159</v>
      </c>
      <c r="K6" s="46" t="s">
        <v>189</v>
      </c>
      <c r="L6" s="46" t="s">
        <v>190</v>
      </c>
    </row>
    <row r="7" customFormat="false" ht="15" hidden="false" customHeight="false" outlineLevel="0" collapsed="false">
      <c r="A7" s="63" t="n">
        <v>321</v>
      </c>
      <c r="B7" s="64" t="s">
        <v>105</v>
      </c>
      <c r="C7" s="64" t="s">
        <v>104</v>
      </c>
      <c r="D7" s="63" t="n">
        <v>33</v>
      </c>
      <c r="E7" s="63" t="n">
        <v>518</v>
      </c>
      <c r="F7" s="63" t="n">
        <v>0</v>
      </c>
      <c r="G7" s="63" t="n">
        <v>38</v>
      </c>
      <c r="H7" s="63" t="n">
        <v>0</v>
      </c>
      <c r="I7" s="63" t="n">
        <v>15.7</v>
      </c>
      <c r="J7" s="65" t="s">
        <v>191</v>
      </c>
      <c r="K7" s="63" t="n">
        <v>0</v>
      </c>
      <c r="L7" s="65" t="s">
        <v>192</v>
      </c>
    </row>
    <row r="8" customFormat="false" ht="15" hidden="false" customHeight="false" outlineLevel="0" collapsed="false">
      <c r="A8" s="66" t="n">
        <v>285</v>
      </c>
      <c r="B8" s="67" t="s">
        <v>102</v>
      </c>
      <c r="C8" s="67" t="s">
        <v>97</v>
      </c>
      <c r="D8" s="66" t="n">
        <v>33</v>
      </c>
      <c r="E8" s="66" t="n">
        <v>526</v>
      </c>
      <c r="F8" s="66" t="n">
        <v>163</v>
      </c>
      <c r="G8" s="66" t="n">
        <v>22</v>
      </c>
      <c r="H8" s="66" t="n">
        <v>0</v>
      </c>
      <c r="I8" s="66" t="n">
        <v>15.9</v>
      </c>
      <c r="J8" s="68" t="s">
        <v>193</v>
      </c>
      <c r="K8" s="66" t="n">
        <v>4.9</v>
      </c>
      <c r="L8" s="68" t="s">
        <v>192</v>
      </c>
    </row>
    <row r="9" customFormat="false" ht="15" hidden="false" customHeight="false" outlineLevel="0" collapsed="false">
      <c r="A9" s="66" t="n">
        <v>98</v>
      </c>
      <c r="B9" s="67" t="s">
        <v>108</v>
      </c>
      <c r="C9" s="67" t="s">
        <v>97</v>
      </c>
      <c r="D9" s="66" t="n">
        <v>30</v>
      </c>
      <c r="E9" s="66" t="n">
        <v>389</v>
      </c>
      <c r="F9" s="66" t="n">
        <v>147</v>
      </c>
      <c r="G9" s="66" t="n">
        <v>84</v>
      </c>
      <c r="H9" s="66" t="n">
        <v>0</v>
      </c>
      <c r="I9" s="66" t="n">
        <v>13</v>
      </c>
      <c r="J9" s="68" t="s">
        <v>194</v>
      </c>
      <c r="K9" s="66" t="n">
        <v>4.9</v>
      </c>
      <c r="L9" s="68" t="s">
        <v>192</v>
      </c>
    </row>
    <row r="10" customFormat="false" ht="15" hidden="false" customHeight="false" outlineLevel="0" collapsed="false">
      <c r="A10" s="69" t="n">
        <v>427</v>
      </c>
      <c r="B10" s="70" t="s">
        <v>119</v>
      </c>
      <c r="C10" s="70" t="s">
        <v>100</v>
      </c>
      <c r="D10" s="69" t="n">
        <v>24</v>
      </c>
      <c r="E10" s="69" t="n">
        <v>397</v>
      </c>
      <c r="F10" s="69" t="n">
        <v>272</v>
      </c>
      <c r="G10" s="69" t="n">
        <v>10</v>
      </c>
      <c r="H10" s="69" t="n">
        <v>230</v>
      </c>
      <c r="I10" s="69" t="n">
        <v>16.5</v>
      </c>
      <c r="J10" s="71" t="s">
        <v>195</v>
      </c>
      <c r="K10" s="69" t="n">
        <v>11.3</v>
      </c>
      <c r="L10" s="71" t="s">
        <v>192</v>
      </c>
    </row>
    <row r="11" customFormat="false" ht="15" hidden="false" customHeight="false" outlineLevel="0" collapsed="false">
      <c r="A11" s="66" t="n">
        <v>8</v>
      </c>
      <c r="B11" s="67" t="s">
        <v>107</v>
      </c>
      <c r="C11" s="67" t="s">
        <v>97</v>
      </c>
      <c r="D11" s="66" t="n">
        <v>20</v>
      </c>
      <c r="E11" s="66" t="n">
        <v>479</v>
      </c>
      <c r="F11" s="66" t="n">
        <v>72</v>
      </c>
      <c r="G11" s="66" t="n">
        <v>45</v>
      </c>
      <c r="H11" s="66" t="n">
        <v>0</v>
      </c>
      <c r="I11" s="66" t="n">
        <v>23.9</v>
      </c>
      <c r="J11" s="72" t="s">
        <v>196</v>
      </c>
      <c r="K11" s="66" t="n">
        <v>3.6</v>
      </c>
      <c r="L11" s="72" t="s">
        <v>197</v>
      </c>
    </row>
    <row r="12" customFormat="false" ht="15" hidden="false" customHeight="false" outlineLevel="0" collapsed="false">
      <c r="A12" s="66" t="n">
        <v>9</v>
      </c>
      <c r="B12" s="67" t="s">
        <v>98</v>
      </c>
      <c r="C12" s="67" t="s">
        <v>97</v>
      </c>
      <c r="D12" s="66" t="n">
        <v>18</v>
      </c>
      <c r="E12" s="66" t="n">
        <v>277</v>
      </c>
      <c r="F12" s="66" t="n">
        <v>63</v>
      </c>
      <c r="G12" s="66" t="n">
        <v>8</v>
      </c>
      <c r="H12" s="66" t="n">
        <v>0</v>
      </c>
      <c r="I12" s="66" t="n">
        <v>15.4</v>
      </c>
      <c r="J12" s="68" t="s">
        <v>198</v>
      </c>
      <c r="K12" s="66" t="n">
        <v>3.5</v>
      </c>
      <c r="L12" s="68" t="s">
        <v>192</v>
      </c>
    </row>
    <row r="13" customFormat="false" ht="15" hidden="false" customHeight="false" outlineLevel="0" collapsed="false">
      <c r="A13" s="69" t="n">
        <v>245</v>
      </c>
      <c r="B13" s="70" t="s">
        <v>101</v>
      </c>
      <c r="C13" s="70" t="s">
        <v>100</v>
      </c>
      <c r="D13" s="69" t="n">
        <v>15</v>
      </c>
      <c r="E13" s="69" t="n">
        <v>31</v>
      </c>
      <c r="F13" s="69" t="n">
        <v>76</v>
      </c>
      <c r="G13" s="69" t="n">
        <v>47</v>
      </c>
      <c r="H13" s="69" t="n">
        <v>14</v>
      </c>
      <c r="I13" s="69" t="n">
        <v>2.1</v>
      </c>
      <c r="J13" s="71" t="s">
        <v>199</v>
      </c>
      <c r="K13" s="69" t="n">
        <v>5.1</v>
      </c>
      <c r="L13" s="71" t="s">
        <v>192</v>
      </c>
    </row>
    <row r="14" customFormat="false" ht="15" hidden="false" customHeight="false" outlineLevel="0" collapsed="false">
      <c r="A14" s="66" t="n">
        <v>285</v>
      </c>
      <c r="B14" s="67" t="s">
        <v>103</v>
      </c>
      <c r="C14" s="67" t="s">
        <v>97</v>
      </c>
      <c r="D14" s="66" t="n">
        <v>14</v>
      </c>
      <c r="E14" s="66" t="n">
        <v>32</v>
      </c>
      <c r="F14" s="66" t="n">
        <v>82</v>
      </c>
      <c r="G14" s="66" t="n">
        <v>5</v>
      </c>
      <c r="H14" s="66" t="n">
        <v>19</v>
      </c>
      <c r="I14" s="66" t="n">
        <v>2.3</v>
      </c>
      <c r="J14" s="68" t="s">
        <v>200</v>
      </c>
      <c r="K14" s="66" t="n">
        <v>5.9</v>
      </c>
      <c r="L14" s="68" t="s">
        <v>192</v>
      </c>
    </row>
    <row r="15" customFormat="false" ht="15" hidden="false" customHeight="false" outlineLevel="0" collapsed="false">
      <c r="A15" s="66" t="n">
        <v>813</v>
      </c>
      <c r="B15" s="67" t="s">
        <v>107</v>
      </c>
      <c r="C15" s="67" t="s">
        <v>97</v>
      </c>
      <c r="D15" s="66" t="n">
        <v>13</v>
      </c>
      <c r="E15" s="66" t="n">
        <v>22</v>
      </c>
      <c r="F15" s="66" t="n">
        <v>37</v>
      </c>
      <c r="G15" s="66" t="n">
        <v>5</v>
      </c>
      <c r="H15" s="66" t="n">
        <v>0</v>
      </c>
      <c r="I15" s="66" t="n">
        <v>1.7</v>
      </c>
      <c r="J15" s="68" t="s">
        <v>201</v>
      </c>
      <c r="K15" s="66" t="n">
        <v>2.8</v>
      </c>
      <c r="L15" s="68" t="s">
        <v>192</v>
      </c>
    </row>
    <row r="16" customFormat="false" ht="15" hidden="false" customHeight="false" outlineLevel="0" collapsed="false">
      <c r="A16" s="66" t="n">
        <v>799</v>
      </c>
      <c r="B16" s="67" t="s">
        <v>136</v>
      </c>
      <c r="C16" s="67" t="s">
        <v>97</v>
      </c>
      <c r="D16" s="66" t="n">
        <v>13</v>
      </c>
      <c r="E16" s="66" t="n">
        <v>281</v>
      </c>
      <c r="F16" s="66" t="n">
        <v>29</v>
      </c>
      <c r="G16" s="66" t="n">
        <v>49</v>
      </c>
      <c r="H16" s="66" t="n">
        <v>12</v>
      </c>
      <c r="I16" s="66" t="n">
        <v>21.6</v>
      </c>
      <c r="J16" s="73" t="s">
        <v>202</v>
      </c>
      <c r="K16" s="66" t="n">
        <v>2.2</v>
      </c>
      <c r="L16" s="74" t="s">
        <v>203</v>
      </c>
    </row>
    <row r="17" customFormat="false" ht="15" hidden="false" customHeight="false" outlineLevel="0" collapsed="false">
      <c r="A17" s="66" t="n">
        <v>439</v>
      </c>
      <c r="B17" s="67" t="s">
        <v>139</v>
      </c>
      <c r="C17" s="67" t="s">
        <v>97</v>
      </c>
      <c r="D17" s="66" t="n">
        <v>11</v>
      </c>
      <c r="E17" s="66" t="n">
        <v>237</v>
      </c>
      <c r="F17" s="66" t="n">
        <v>42</v>
      </c>
      <c r="G17" s="66" t="n">
        <v>53</v>
      </c>
      <c r="H17" s="66" t="n">
        <v>0</v>
      </c>
      <c r="I17" s="66" t="n">
        <v>21.5</v>
      </c>
      <c r="J17" s="73" t="s">
        <v>204</v>
      </c>
      <c r="K17" s="66" t="n">
        <v>3.8</v>
      </c>
      <c r="L17" s="74" t="s">
        <v>203</v>
      </c>
    </row>
    <row r="18" customFormat="false" ht="15" hidden="false" customHeight="false" outlineLevel="0" collapsed="false">
      <c r="A18" s="66" t="n">
        <v>9</v>
      </c>
      <c r="B18" s="67" t="s">
        <v>141</v>
      </c>
      <c r="C18" s="67" t="s">
        <v>97</v>
      </c>
      <c r="D18" s="66" t="n">
        <v>10</v>
      </c>
      <c r="E18" s="66" t="n">
        <v>260</v>
      </c>
      <c r="F18" s="66" t="n">
        <v>45</v>
      </c>
      <c r="G18" s="66" t="n">
        <v>4</v>
      </c>
      <c r="H18" s="66" t="n">
        <v>0</v>
      </c>
      <c r="I18" s="66" t="n">
        <v>26</v>
      </c>
      <c r="J18" s="72" t="s">
        <v>205</v>
      </c>
      <c r="K18" s="66" t="n">
        <v>4.5</v>
      </c>
      <c r="L18" s="72" t="s">
        <v>197</v>
      </c>
    </row>
    <row r="19" customFormat="false" ht="15" hidden="false" customHeight="false" outlineLevel="0" collapsed="false">
      <c r="A19" s="66" t="n">
        <v>16</v>
      </c>
      <c r="B19" s="67" t="s">
        <v>99</v>
      </c>
      <c r="C19" s="67" t="s">
        <v>97</v>
      </c>
      <c r="D19" s="66" t="n">
        <v>10</v>
      </c>
      <c r="E19" s="66" t="n">
        <v>0</v>
      </c>
      <c r="F19" s="66" t="n">
        <v>6</v>
      </c>
      <c r="G19" s="66" t="n">
        <v>0</v>
      </c>
      <c r="H19" s="66" t="n">
        <v>0</v>
      </c>
      <c r="I19" s="66" t="n">
        <v>0</v>
      </c>
      <c r="J19" s="68" t="s">
        <v>161</v>
      </c>
      <c r="K19" s="66" t="n">
        <v>0.6</v>
      </c>
      <c r="L19" s="68" t="s">
        <v>192</v>
      </c>
    </row>
    <row r="20" customFormat="false" ht="15" hidden="false" customHeight="false" outlineLevel="0" collapsed="false">
      <c r="A20" s="66" t="n">
        <v>439</v>
      </c>
      <c r="B20" s="67" t="s">
        <v>126</v>
      </c>
      <c r="C20" s="67" t="s">
        <v>97</v>
      </c>
      <c r="D20" s="66" t="n">
        <v>9</v>
      </c>
      <c r="E20" s="66" t="n">
        <v>209</v>
      </c>
      <c r="F20" s="66" t="n">
        <v>42</v>
      </c>
      <c r="G20" s="66" t="n">
        <v>5</v>
      </c>
      <c r="H20" s="66" t="n">
        <v>18</v>
      </c>
      <c r="I20" s="66" t="n">
        <v>23.2</v>
      </c>
      <c r="J20" s="73" t="s">
        <v>206</v>
      </c>
      <c r="K20" s="66" t="n">
        <v>4.7</v>
      </c>
      <c r="L20" s="74" t="s">
        <v>203</v>
      </c>
    </row>
    <row r="21" customFormat="false" ht="15" hidden="false" customHeight="false" outlineLevel="0" collapsed="false">
      <c r="A21" s="69" t="n">
        <v>7</v>
      </c>
      <c r="B21" s="70" t="s">
        <v>106</v>
      </c>
      <c r="C21" s="70" t="s">
        <v>100</v>
      </c>
      <c r="D21" s="69" t="n">
        <v>8</v>
      </c>
      <c r="E21" s="69" t="n">
        <v>0</v>
      </c>
      <c r="F21" s="69" t="n">
        <v>40</v>
      </c>
      <c r="G21" s="69" t="n">
        <v>0</v>
      </c>
      <c r="H21" s="69" t="n">
        <v>0</v>
      </c>
      <c r="I21" s="69" t="n">
        <v>0</v>
      </c>
      <c r="J21" s="71" t="s">
        <v>161</v>
      </c>
      <c r="K21" s="69" t="n">
        <v>5</v>
      </c>
      <c r="L21" s="71" t="s">
        <v>192</v>
      </c>
    </row>
    <row r="22" customFormat="false" ht="15" hidden="false" customHeight="false" outlineLevel="0" collapsed="false">
      <c r="A22" s="66" t="n">
        <v>429</v>
      </c>
      <c r="B22" s="67" t="s">
        <v>125</v>
      </c>
      <c r="C22" s="67" t="s">
        <v>97</v>
      </c>
      <c r="D22" s="66" t="n">
        <v>6</v>
      </c>
      <c r="E22" s="66" t="n">
        <v>42</v>
      </c>
      <c r="F22" s="66" t="n">
        <v>0</v>
      </c>
      <c r="G22" s="66" t="n">
        <v>0</v>
      </c>
      <c r="H22" s="66" t="n">
        <v>115</v>
      </c>
      <c r="I22" s="66" t="n">
        <v>7</v>
      </c>
      <c r="J22" s="68" t="s">
        <v>207</v>
      </c>
      <c r="K22" s="66" t="n">
        <v>0</v>
      </c>
      <c r="L22" s="68" t="s">
        <v>192</v>
      </c>
    </row>
    <row r="23" customFormat="false" ht="15" hidden="false" customHeight="false" outlineLevel="0" collapsed="false">
      <c r="A23" s="66" t="n">
        <v>16</v>
      </c>
      <c r="B23" s="67" t="s">
        <v>121</v>
      </c>
      <c r="C23" s="67" t="s">
        <v>97</v>
      </c>
      <c r="D23" s="66" t="n">
        <v>3</v>
      </c>
      <c r="E23" s="66" t="n">
        <v>0</v>
      </c>
      <c r="F23" s="66" t="n">
        <v>0</v>
      </c>
      <c r="G23" s="66" t="n">
        <v>0</v>
      </c>
      <c r="H23" s="66" t="n">
        <v>31</v>
      </c>
      <c r="I23" s="66" t="n">
        <v>0</v>
      </c>
      <c r="J23" s="68" t="s">
        <v>161</v>
      </c>
      <c r="K23" s="66" t="n">
        <v>0</v>
      </c>
      <c r="L23" s="68" t="s">
        <v>192</v>
      </c>
    </row>
    <row r="24" customFormat="false" ht="15" hidden="false" customHeight="false" outlineLevel="0" collapsed="false">
      <c r="A24" s="69" t="n">
        <v>868</v>
      </c>
      <c r="B24" s="70" t="s">
        <v>148</v>
      </c>
      <c r="C24" s="70" t="s">
        <v>100</v>
      </c>
      <c r="D24" s="69" t="n">
        <v>2</v>
      </c>
      <c r="E24" s="69" t="n">
        <v>49</v>
      </c>
      <c r="F24" s="69" t="n">
        <v>6</v>
      </c>
      <c r="G24" s="69" t="n">
        <v>0</v>
      </c>
      <c r="H24" s="69" t="n">
        <v>12</v>
      </c>
      <c r="I24" s="69" t="n">
        <v>24.5</v>
      </c>
      <c r="J24" s="75" t="s">
        <v>208</v>
      </c>
      <c r="K24" s="69" t="n">
        <v>3</v>
      </c>
      <c r="L24" s="75" t="s">
        <v>197</v>
      </c>
    </row>
    <row r="25" customFormat="false" ht="15" hidden="false" customHeight="false" outlineLevel="0" collapsed="false">
      <c r="A25" s="66" t="n">
        <v>439</v>
      </c>
      <c r="B25" s="67" t="s">
        <v>134</v>
      </c>
      <c r="C25" s="67" t="s">
        <v>97</v>
      </c>
      <c r="D25" s="66" t="n">
        <v>1</v>
      </c>
      <c r="E25" s="66" t="n">
        <v>4</v>
      </c>
      <c r="F25" s="66" t="n">
        <v>0</v>
      </c>
      <c r="G25" s="66" t="n">
        <v>1</v>
      </c>
      <c r="H25" s="66" t="n">
        <v>25</v>
      </c>
      <c r="I25" s="66" t="n">
        <v>4</v>
      </c>
      <c r="J25" s="68" t="s">
        <v>209</v>
      </c>
      <c r="K25" s="66" t="n">
        <v>0</v>
      </c>
      <c r="L25" s="68" t="s">
        <v>192</v>
      </c>
    </row>
    <row r="26" customFormat="false" ht="15" hidden="false" customHeight="false" outlineLevel="0" collapsed="false">
      <c r="A26" s="69" t="n">
        <v>454</v>
      </c>
      <c r="B26" s="70" t="s">
        <v>128</v>
      </c>
      <c r="C26" s="70" t="s">
        <v>100</v>
      </c>
      <c r="D26" s="69" t="n">
        <v>1</v>
      </c>
      <c r="E26" s="69" t="n">
        <v>25</v>
      </c>
      <c r="F26" s="69" t="n">
        <v>0</v>
      </c>
      <c r="G26" s="69" t="n">
        <v>0</v>
      </c>
      <c r="H26" s="69" t="n">
        <v>6</v>
      </c>
      <c r="I26" s="69" t="n">
        <v>25</v>
      </c>
      <c r="J26" s="75" t="s">
        <v>210</v>
      </c>
      <c r="K26" s="69" t="n">
        <v>0</v>
      </c>
      <c r="L26" s="75" t="s">
        <v>197</v>
      </c>
    </row>
    <row r="27" customFormat="false" ht="15" hidden="false" customHeight="false" outlineLevel="0" collapsed="false">
      <c r="A27" s="69" t="n">
        <v>868</v>
      </c>
      <c r="B27" s="70" t="s">
        <v>153</v>
      </c>
      <c r="C27" s="70" t="s">
        <v>100</v>
      </c>
      <c r="D27" s="69" t="n">
        <v>1</v>
      </c>
      <c r="E27" s="69" t="n">
        <v>25</v>
      </c>
      <c r="F27" s="69" t="n">
        <v>0</v>
      </c>
      <c r="G27" s="69" t="n">
        <v>0</v>
      </c>
      <c r="H27" s="69" t="n">
        <v>6</v>
      </c>
      <c r="I27" s="69" t="n">
        <v>25</v>
      </c>
      <c r="J27" s="75" t="s">
        <v>210</v>
      </c>
      <c r="K27" s="69" t="n">
        <v>0</v>
      </c>
      <c r="L27" s="75" t="s">
        <v>197</v>
      </c>
    </row>
  </sheetData>
  <mergeCells count="2">
    <mergeCell ref="B2:R2"/>
    <mergeCell ref="B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700A"/>
    <pageSetUpPr fitToPage="fals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2" min="10" style="0" width="1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211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212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21.75" hidden="false" customHeight="true" outlineLevel="0" collapsed="false">
      <c r="A6" s="7" t="s">
        <v>213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9.5" hidden="false" customHeight="true" outlineLevel="0" collapsed="false"/>
    <row r="8" customFormat="false" ht="19.5" hidden="false" customHeight="true" outlineLevel="0" collapsed="false">
      <c r="B8" s="76" t="s">
        <v>88</v>
      </c>
      <c r="C8" s="76" t="s">
        <v>214</v>
      </c>
      <c r="D8" s="76" t="s">
        <v>215</v>
      </c>
      <c r="E8" s="76" t="s">
        <v>216</v>
      </c>
      <c r="F8" s="76" t="s">
        <v>217</v>
      </c>
    </row>
    <row r="9" customFormat="false" ht="19.5" hidden="false" customHeight="true" outlineLevel="0" collapsed="false">
      <c r="B9" s="77" t="s">
        <v>104</v>
      </c>
      <c r="C9" s="77" t="n">
        <v>750</v>
      </c>
      <c r="D9" s="77" t="n">
        <v>1125</v>
      </c>
      <c r="E9" s="77" t="s">
        <v>218</v>
      </c>
      <c r="F9" s="77" t="s">
        <v>219</v>
      </c>
    </row>
    <row r="10" customFormat="false" ht="19.5" hidden="false" customHeight="true" outlineLevel="0" collapsed="false">
      <c r="B10" s="77" t="s">
        <v>100</v>
      </c>
      <c r="C10" s="77" t="n">
        <v>650</v>
      </c>
      <c r="D10" s="77" t="n">
        <v>975</v>
      </c>
      <c r="E10" s="77" t="s">
        <v>218</v>
      </c>
      <c r="F10" s="77" t="s">
        <v>219</v>
      </c>
    </row>
    <row r="11" customFormat="false" ht="19.5" hidden="false" customHeight="true" outlineLevel="0" collapsed="false">
      <c r="B11" s="77" t="s">
        <v>97</v>
      </c>
      <c r="C11" s="77" t="n">
        <v>600</v>
      </c>
      <c r="D11" s="77" t="n">
        <v>900</v>
      </c>
      <c r="E11" s="77" t="s">
        <v>218</v>
      </c>
      <c r="F11" s="77" t="s">
        <v>219</v>
      </c>
    </row>
    <row r="13" customFormat="false" ht="21.75" hidden="false" customHeight="true" outlineLevel="0" collapsed="false">
      <c r="A13" s="7" t="s">
        <v>220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5" customFormat="false" ht="21.75" hidden="false" customHeight="true" outlineLevel="0" collapsed="false">
      <c r="A15" s="8" t="s">
        <v>221</v>
      </c>
      <c r="B15" s="8" t="s">
        <v>87</v>
      </c>
      <c r="C15" s="8" t="s">
        <v>183</v>
      </c>
      <c r="D15" s="8" t="s">
        <v>88</v>
      </c>
      <c r="E15" s="8" t="s">
        <v>90</v>
      </c>
      <c r="F15" s="8" t="s">
        <v>91</v>
      </c>
      <c r="G15" s="8" t="s">
        <v>214</v>
      </c>
      <c r="H15" s="8" t="s">
        <v>222</v>
      </c>
      <c r="I15" s="8" t="s">
        <v>223</v>
      </c>
      <c r="J15" s="8" t="s">
        <v>224</v>
      </c>
      <c r="K15" s="8" t="s">
        <v>225</v>
      </c>
      <c r="L15" s="8" t="s">
        <v>226</v>
      </c>
    </row>
    <row r="16" customFormat="false" ht="21.75" hidden="false" customHeight="true" outlineLevel="0" collapsed="false">
      <c r="A16" s="78" t="n">
        <v>1</v>
      </c>
      <c r="B16" s="78" t="s">
        <v>227</v>
      </c>
      <c r="C16" s="79" t="s">
        <v>102</v>
      </c>
      <c r="D16" s="78" t="s">
        <v>97</v>
      </c>
      <c r="E16" s="80" t="n">
        <v>17</v>
      </c>
      <c r="F16" s="80" t="n">
        <v>5</v>
      </c>
      <c r="G16" s="81" t="n">
        <f aca="false">C11</f>
        <v>600</v>
      </c>
      <c r="H16" s="82" t="n">
        <f aca="false">E16*G16</f>
        <v>10200</v>
      </c>
      <c r="I16" s="81" t="n">
        <f aca="false">F16*D11</f>
        <v>4500</v>
      </c>
      <c r="J16" s="81" t="n">
        <f aca="false">H16*0.12</f>
        <v>1224</v>
      </c>
      <c r="K16" s="81" t="n">
        <f aca="false">H16*0.0075</f>
        <v>76.5</v>
      </c>
      <c r="L16" s="83" t="n">
        <f aca="false">H16+I16-J16-K16</f>
        <v>13399.5</v>
      </c>
    </row>
    <row r="17" customFormat="false" ht="21.75" hidden="false" customHeight="true" outlineLevel="0" collapsed="false">
      <c r="A17" s="84" t="n">
        <v>2</v>
      </c>
      <c r="B17" s="84" t="s">
        <v>228</v>
      </c>
      <c r="C17" s="85" t="s">
        <v>105</v>
      </c>
      <c r="D17" s="84" t="s">
        <v>104</v>
      </c>
      <c r="E17" s="80" t="n">
        <v>27</v>
      </c>
      <c r="F17" s="80" t="n">
        <v>0</v>
      </c>
      <c r="G17" s="86" t="n">
        <f aca="false">C9</f>
        <v>750</v>
      </c>
      <c r="H17" s="87" t="n">
        <f aca="false">E17*G17</f>
        <v>20250</v>
      </c>
      <c r="I17" s="86" t="n">
        <f aca="false">F17*D9</f>
        <v>0</v>
      </c>
      <c r="J17" s="86" t="n">
        <f aca="false">H17*0.12</f>
        <v>2430</v>
      </c>
      <c r="K17" s="86" t="n">
        <f aca="false">H17*0.0075</f>
        <v>151.875</v>
      </c>
      <c r="L17" s="88" t="n">
        <f aca="false">H17+I17-J17-K17</f>
        <v>17668.125</v>
      </c>
    </row>
    <row r="18" customFormat="false" ht="21.75" hidden="false" customHeight="true" outlineLevel="0" collapsed="false">
      <c r="A18" s="78" t="n">
        <v>3</v>
      </c>
      <c r="B18" s="78" t="s">
        <v>229</v>
      </c>
      <c r="C18" s="79" t="s">
        <v>119</v>
      </c>
      <c r="D18" s="78" t="s">
        <v>100</v>
      </c>
      <c r="E18" s="80" t="n">
        <v>26</v>
      </c>
      <c r="F18" s="80" t="n">
        <v>0</v>
      </c>
      <c r="G18" s="81" t="n">
        <f aca="false">C10</f>
        <v>650</v>
      </c>
      <c r="H18" s="82" t="n">
        <f aca="false">E18*G18</f>
        <v>16900</v>
      </c>
      <c r="I18" s="81" t="n">
        <f aca="false">F18*D10</f>
        <v>0</v>
      </c>
      <c r="J18" s="81" t="n">
        <f aca="false">H18*0.12</f>
        <v>2028</v>
      </c>
      <c r="K18" s="81" t="n">
        <f aca="false">H18*0.0075</f>
        <v>126.75</v>
      </c>
      <c r="L18" s="83" t="n">
        <f aca="false">H18+I18-J18-K18</f>
        <v>14745.25</v>
      </c>
    </row>
    <row r="19" customFormat="false" ht="21.75" hidden="false" customHeight="true" outlineLevel="0" collapsed="false">
      <c r="A19" s="84" t="n">
        <v>4</v>
      </c>
      <c r="B19" s="84" t="s">
        <v>230</v>
      </c>
      <c r="C19" s="85" t="s">
        <v>139</v>
      </c>
      <c r="D19" s="84" t="s">
        <v>97</v>
      </c>
      <c r="E19" s="80" t="n">
        <v>27</v>
      </c>
      <c r="F19" s="80" t="n">
        <v>10</v>
      </c>
      <c r="G19" s="86" t="n">
        <f aca="false">C11</f>
        <v>600</v>
      </c>
      <c r="H19" s="87" t="n">
        <f aca="false">E19*G19</f>
        <v>16200</v>
      </c>
      <c r="I19" s="86" t="n">
        <f aca="false">F19*D11</f>
        <v>9000</v>
      </c>
      <c r="J19" s="86" t="n">
        <f aca="false">H19*0.12</f>
        <v>1944</v>
      </c>
      <c r="K19" s="86" t="n">
        <f aca="false">H19*0.0075</f>
        <v>121.5</v>
      </c>
      <c r="L19" s="88" t="n">
        <f aca="false">H19+I19-J19-K19</f>
        <v>23134.5</v>
      </c>
    </row>
    <row r="20" customFormat="false" ht="21.75" hidden="false" customHeight="true" outlineLevel="0" collapsed="false">
      <c r="A20" s="78" t="n">
        <v>5</v>
      </c>
      <c r="B20" s="78" t="s">
        <v>231</v>
      </c>
      <c r="C20" s="79" t="s">
        <v>128</v>
      </c>
      <c r="D20" s="78" t="s">
        <v>100</v>
      </c>
      <c r="E20" s="80" t="n">
        <v>25</v>
      </c>
      <c r="F20" s="80" t="n">
        <v>0</v>
      </c>
      <c r="G20" s="81" t="n">
        <f aca="false">C10</f>
        <v>650</v>
      </c>
      <c r="H20" s="82" t="n">
        <f aca="false">E20*G20</f>
        <v>16250</v>
      </c>
      <c r="I20" s="81" t="n">
        <f aca="false">F20*D10</f>
        <v>0</v>
      </c>
      <c r="J20" s="81" t="n">
        <f aca="false">H20*0.12</f>
        <v>1950</v>
      </c>
      <c r="K20" s="81" t="n">
        <f aca="false">H20*0.0075</f>
        <v>121.875</v>
      </c>
      <c r="L20" s="83" t="n">
        <f aca="false">H20+I20-J20-K20</f>
        <v>14178.125</v>
      </c>
    </row>
    <row r="21" customFormat="false" ht="21.75" hidden="false" customHeight="true" outlineLevel="0" collapsed="false">
      <c r="A21" s="84" t="n">
        <v>6</v>
      </c>
      <c r="B21" s="84" t="s">
        <v>232</v>
      </c>
      <c r="C21" s="85" t="s">
        <v>136</v>
      </c>
      <c r="D21" s="84" t="s">
        <v>97</v>
      </c>
      <c r="E21" s="80" t="n">
        <v>24</v>
      </c>
      <c r="F21" s="80" t="n">
        <v>2</v>
      </c>
      <c r="G21" s="86" t="n">
        <f aca="false">C11</f>
        <v>600</v>
      </c>
      <c r="H21" s="87" t="n">
        <f aca="false">E21*G21</f>
        <v>14400</v>
      </c>
      <c r="I21" s="86" t="n">
        <f aca="false">F21*D11</f>
        <v>1800</v>
      </c>
      <c r="J21" s="86" t="n">
        <f aca="false">H21*0.12</f>
        <v>1728</v>
      </c>
      <c r="K21" s="86" t="n">
        <f aca="false">H21*0.0075</f>
        <v>108</v>
      </c>
      <c r="L21" s="88" t="n">
        <f aca="false">H21+I21-J21-K21</f>
        <v>14364</v>
      </c>
    </row>
    <row r="22" customFormat="false" ht="21.75" hidden="false" customHeight="true" outlineLevel="0" collapsed="false">
      <c r="A22" s="78" t="n">
        <v>7</v>
      </c>
      <c r="B22" s="78" t="s">
        <v>233</v>
      </c>
      <c r="C22" s="79" t="s">
        <v>107</v>
      </c>
      <c r="D22" s="78" t="s">
        <v>97</v>
      </c>
      <c r="E22" s="80" t="n">
        <v>25</v>
      </c>
      <c r="F22" s="80" t="n">
        <v>6</v>
      </c>
      <c r="G22" s="81" t="n">
        <f aca="false">C11</f>
        <v>600</v>
      </c>
      <c r="H22" s="82" t="n">
        <f aca="false">E22*G22</f>
        <v>15000</v>
      </c>
      <c r="I22" s="81" t="n">
        <f aca="false">F22*D11</f>
        <v>5400</v>
      </c>
      <c r="J22" s="81" t="n">
        <f aca="false">H22*0.12</f>
        <v>1800</v>
      </c>
      <c r="K22" s="81" t="n">
        <f aca="false">H22*0.0075</f>
        <v>112.5</v>
      </c>
      <c r="L22" s="83" t="n">
        <f aca="false">H22+I22-J22-K22</f>
        <v>18487.5</v>
      </c>
    </row>
    <row r="23" customFormat="false" ht="21.75" hidden="false" customHeight="true" outlineLevel="0" collapsed="false">
      <c r="A23" s="84" t="n">
        <v>8</v>
      </c>
      <c r="B23" s="84" t="s">
        <v>234</v>
      </c>
      <c r="C23" s="85" t="s">
        <v>153</v>
      </c>
      <c r="D23" s="84" t="s">
        <v>100</v>
      </c>
      <c r="E23" s="80" t="n">
        <v>25</v>
      </c>
      <c r="F23" s="80" t="n">
        <v>0</v>
      </c>
      <c r="G23" s="86" t="n">
        <f aca="false">C10</f>
        <v>650</v>
      </c>
      <c r="H23" s="87" t="n">
        <f aca="false">E23*G23</f>
        <v>16250</v>
      </c>
      <c r="I23" s="86" t="n">
        <f aca="false">F23*D10</f>
        <v>0</v>
      </c>
      <c r="J23" s="86" t="n">
        <f aca="false">H23*0.12</f>
        <v>1950</v>
      </c>
      <c r="K23" s="86" t="n">
        <f aca="false">H23*0.0075</f>
        <v>121.875</v>
      </c>
      <c r="L23" s="88" t="n">
        <f aca="false">H23+I23-J23-K23</f>
        <v>14178.125</v>
      </c>
    </row>
    <row r="24" customFormat="false" ht="21.75" hidden="false" customHeight="true" outlineLevel="0" collapsed="false">
      <c r="A24" s="78" t="n">
        <v>9</v>
      </c>
      <c r="B24" s="78" t="s">
        <v>235</v>
      </c>
      <c r="C24" s="79" t="s">
        <v>141</v>
      </c>
      <c r="D24" s="78" t="s">
        <v>97</v>
      </c>
      <c r="E24" s="80" t="n">
        <v>27</v>
      </c>
      <c r="F24" s="80" t="n">
        <v>9</v>
      </c>
      <c r="G24" s="81" t="n">
        <f aca="false">C11</f>
        <v>600</v>
      </c>
      <c r="H24" s="82" t="n">
        <f aca="false">E24*G24</f>
        <v>16200</v>
      </c>
      <c r="I24" s="81" t="n">
        <f aca="false">F24*D11</f>
        <v>8100</v>
      </c>
      <c r="J24" s="81" t="n">
        <f aca="false">H24*0.12</f>
        <v>1944</v>
      </c>
      <c r="K24" s="81" t="n">
        <f aca="false">H24*0.0075</f>
        <v>121.5</v>
      </c>
      <c r="L24" s="83" t="n">
        <f aca="false">H24+I24-J24-K24</f>
        <v>22234.5</v>
      </c>
    </row>
    <row r="25" customFormat="false" ht="21.75" hidden="false" customHeight="true" outlineLevel="0" collapsed="false">
      <c r="A25" s="84" t="n">
        <v>10</v>
      </c>
      <c r="B25" s="84" t="s">
        <v>236</v>
      </c>
      <c r="C25" s="85" t="s">
        <v>108</v>
      </c>
      <c r="D25" s="84" t="s">
        <v>97</v>
      </c>
      <c r="E25" s="80" t="n">
        <v>6</v>
      </c>
      <c r="F25" s="80" t="n">
        <v>3</v>
      </c>
      <c r="G25" s="86" t="n">
        <f aca="false">C11</f>
        <v>600</v>
      </c>
      <c r="H25" s="87" t="n">
        <f aca="false">E25*G25</f>
        <v>3600</v>
      </c>
      <c r="I25" s="86" t="n">
        <f aca="false">F25*D11</f>
        <v>2700</v>
      </c>
      <c r="J25" s="86" t="n">
        <f aca="false">H25*0.12</f>
        <v>432</v>
      </c>
      <c r="K25" s="86" t="n">
        <f aca="false">H25*0.0075</f>
        <v>27</v>
      </c>
      <c r="L25" s="88" t="n">
        <f aca="false">H25+I25-J25-K25</f>
        <v>5841</v>
      </c>
    </row>
    <row r="26" customFormat="false" ht="21.75" hidden="false" customHeight="true" outlineLevel="0" collapsed="false">
      <c r="C26" s="89" t="s">
        <v>237</v>
      </c>
      <c r="E26" s="90" t="n">
        <f aca="false">SUM(E16:E25)</f>
        <v>229</v>
      </c>
      <c r="H26" s="90" t="n">
        <f aca="false">SUM(H16:H25)</f>
        <v>145250</v>
      </c>
      <c r="I26" s="90" t="n">
        <f aca="false">SUM(I16:I25)</f>
        <v>31500</v>
      </c>
      <c r="J26" s="90" t="n">
        <f aca="false">SUM(J16:J25)</f>
        <v>17430</v>
      </c>
      <c r="K26" s="90" t="n">
        <f aca="false">SUM(K16:K25)</f>
        <v>1089.375</v>
      </c>
      <c r="L26" s="90" t="n">
        <f aca="false">SUM(L16:L25)</f>
        <v>158230.625</v>
      </c>
    </row>
  </sheetData>
  <mergeCells count="4">
    <mergeCell ref="B2:R2"/>
    <mergeCell ref="B3:R3"/>
    <mergeCell ref="A6:N6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S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238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239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21.75" hidden="false" customHeight="true" outlineLevel="0" collapsed="false">
      <c r="A6" s="7" t="s">
        <v>240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8" customFormat="false" ht="19.5" hidden="false" customHeight="true" outlineLevel="0" collapsed="false">
      <c r="B8" s="76" t="s">
        <v>88</v>
      </c>
      <c r="C8" s="76" t="s">
        <v>241</v>
      </c>
      <c r="D8" s="76" t="s">
        <v>242</v>
      </c>
      <c r="E8" s="76" t="s">
        <v>243</v>
      </c>
    </row>
    <row r="9" customFormat="false" ht="19.5" hidden="false" customHeight="true" outlineLevel="0" collapsed="false">
      <c r="B9" s="77" t="s">
        <v>104</v>
      </c>
      <c r="C9" s="77" t="n">
        <v>1200</v>
      </c>
      <c r="D9" s="77" t="n">
        <v>1</v>
      </c>
      <c r="E9" s="77" t="n">
        <v>26</v>
      </c>
    </row>
    <row r="10" customFormat="false" ht="19.5" hidden="false" customHeight="true" outlineLevel="0" collapsed="false">
      <c r="B10" s="77" t="s">
        <v>100</v>
      </c>
      <c r="C10" s="77" t="n">
        <v>1050</v>
      </c>
      <c r="D10" s="77" t="n">
        <v>3</v>
      </c>
      <c r="E10" s="77" t="n">
        <v>26</v>
      </c>
    </row>
    <row r="11" customFormat="false" ht="19.5" hidden="false" customHeight="true" outlineLevel="0" collapsed="false">
      <c r="B11" s="77" t="s">
        <v>97</v>
      </c>
      <c r="C11" s="77" t="n">
        <v>950</v>
      </c>
      <c r="D11" s="77" t="n">
        <v>6</v>
      </c>
      <c r="E11" s="77" t="n">
        <v>26</v>
      </c>
    </row>
    <row r="13" customFormat="false" ht="21.75" hidden="false" customHeight="true" outlineLevel="0" collapsed="false">
      <c r="A13" s="7" t="s">
        <v>244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5" customFormat="false" ht="19.5" hidden="false" customHeight="true" outlineLevel="0" collapsed="false">
      <c r="A15" s="46" t="s">
        <v>86</v>
      </c>
      <c r="B15" s="46" t="s">
        <v>156</v>
      </c>
      <c r="C15" s="46" t="s">
        <v>245</v>
      </c>
      <c r="D15" s="46" t="s">
        <v>246</v>
      </c>
      <c r="E15" s="46" t="s">
        <v>247</v>
      </c>
      <c r="F15" s="46" t="s">
        <v>248</v>
      </c>
      <c r="G15" s="46" t="s">
        <v>249</v>
      </c>
      <c r="H15" s="46" t="s">
        <v>250</v>
      </c>
      <c r="I15" s="46" t="s">
        <v>251</v>
      </c>
      <c r="J15" s="46" t="s">
        <v>252</v>
      </c>
    </row>
    <row r="16" customFormat="false" ht="15" hidden="false" customHeight="false" outlineLevel="0" collapsed="false">
      <c r="A16" s="57" t="s">
        <v>96</v>
      </c>
      <c r="B16" s="57" t="n">
        <v>9</v>
      </c>
      <c r="C16" s="57" t="n">
        <v>0</v>
      </c>
      <c r="D16" s="57" t="n">
        <v>0</v>
      </c>
      <c r="E16" s="57" t="n">
        <v>0</v>
      </c>
      <c r="F16" s="57" t="n">
        <v>0</v>
      </c>
      <c r="G16" s="91" t="n">
        <v>0</v>
      </c>
      <c r="H16" s="57" t="n">
        <v>260</v>
      </c>
      <c r="I16" s="58" t="s">
        <v>161</v>
      </c>
      <c r="J16" s="91" t="n">
        <v>-247000</v>
      </c>
    </row>
    <row r="17" customFormat="false" ht="15" hidden="false" customHeight="false" outlineLevel="0" collapsed="false">
      <c r="A17" s="55" t="s">
        <v>109</v>
      </c>
      <c r="B17" s="55" t="n">
        <v>9</v>
      </c>
      <c r="C17" s="55" t="n">
        <v>0</v>
      </c>
      <c r="D17" s="55" t="n">
        <v>0</v>
      </c>
      <c r="E17" s="55" t="n">
        <v>0</v>
      </c>
      <c r="F17" s="55" t="n">
        <v>0</v>
      </c>
      <c r="G17" s="92" t="n">
        <v>0</v>
      </c>
      <c r="H17" s="55" t="n">
        <v>260</v>
      </c>
      <c r="I17" s="56" t="s">
        <v>161</v>
      </c>
      <c r="J17" s="92" t="n">
        <v>-247000</v>
      </c>
    </row>
    <row r="18" customFormat="false" ht="15" hidden="false" customHeight="false" outlineLevel="0" collapsed="false">
      <c r="A18" s="57" t="s">
        <v>110</v>
      </c>
      <c r="B18" s="57" t="n">
        <v>9</v>
      </c>
      <c r="C18" s="57" t="n">
        <v>0</v>
      </c>
      <c r="D18" s="57" t="n">
        <v>0</v>
      </c>
      <c r="E18" s="57" t="n">
        <v>0</v>
      </c>
      <c r="F18" s="57" t="n">
        <v>0</v>
      </c>
      <c r="G18" s="91" t="n">
        <v>0</v>
      </c>
      <c r="H18" s="57" t="n">
        <v>260</v>
      </c>
      <c r="I18" s="58" t="s">
        <v>161</v>
      </c>
      <c r="J18" s="91" t="n">
        <v>-247000</v>
      </c>
    </row>
    <row r="19" customFormat="false" ht="15" hidden="false" customHeight="false" outlineLevel="0" collapsed="false">
      <c r="A19" s="55" t="s">
        <v>111</v>
      </c>
      <c r="B19" s="55" t="n">
        <v>9</v>
      </c>
      <c r="C19" s="55" t="n">
        <v>0</v>
      </c>
      <c r="D19" s="55" t="n">
        <v>0</v>
      </c>
      <c r="E19" s="55" t="n">
        <v>0</v>
      </c>
      <c r="F19" s="55" t="n">
        <v>0</v>
      </c>
      <c r="G19" s="92" t="n">
        <v>0</v>
      </c>
      <c r="H19" s="55" t="n">
        <v>260</v>
      </c>
      <c r="I19" s="56" t="s">
        <v>161</v>
      </c>
      <c r="J19" s="92" t="n">
        <v>-247000</v>
      </c>
    </row>
    <row r="20" customFormat="false" ht="15" hidden="false" customHeight="false" outlineLevel="0" collapsed="false">
      <c r="A20" s="57" t="s">
        <v>112</v>
      </c>
      <c r="B20" s="57" t="n">
        <v>9</v>
      </c>
      <c r="C20" s="57" t="n">
        <v>0</v>
      </c>
      <c r="D20" s="57" t="n">
        <v>0</v>
      </c>
      <c r="E20" s="57" t="n">
        <v>0</v>
      </c>
      <c r="F20" s="57" t="n">
        <v>0</v>
      </c>
      <c r="G20" s="91" t="n">
        <v>0</v>
      </c>
      <c r="H20" s="57" t="n">
        <v>260</v>
      </c>
      <c r="I20" s="58" t="s">
        <v>161</v>
      </c>
      <c r="J20" s="91" t="n">
        <v>-247000</v>
      </c>
    </row>
    <row r="21" customFormat="false" ht="15" hidden="false" customHeight="false" outlineLevel="0" collapsed="false">
      <c r="A21" s="55" t="s">
        <v>113</v>
      </c>
      <c r="B21" s="55" t="n">
        <v>9</v>
      </c>
      <c r="C21" s="55" t="n">
        <v>0</v>
      </c>
      <c r="D21" s="55" t="n">
        <v>0</v>
      </c>
      <c r="E21" s="55" t="n">
        <v>0</v>
      </c>
      <c r="F21" s="55" t="n">
        <v>0</v>
      </c>
      <c r="G21" s="92" t="n">
        <v>0</v>
      </c>
      <c r="H21" s="55" t="n">
        <v>260</v>
      </c>
      <c r="I21" s="56" t="s">
        <v>161</v>
      </c>
      <c r="J21" s="92" t="n">
        <v>-247000</v>
      </c>
    </row>
    <row r="22" customFormat="false" ht="15" hidden="false" customHeight="false" outlineLevel="0" collapsed="false">
      <c r="A22" s="57" t="s">
        <v>114</v>
      </c>
      <c r="B22" s="57" t="n">
        <v>9</v>
      </c>
      <c r="C22" s="57" t="n">
        <v>0</v>
      </c>
      <c r="D22" s="57" t="n">
        <v>0</v>
      </c>
      <c r="E22" s="57" t="n">
        <v>0</v>
      </c>
      <c r="F22" s="57" t="n">
        <v>0</v>
      </c>
      <c r="G22" s="91" t="n">
        <v>0</v>
      </c>
      <c r="H22" s="57" t="n">
        <v>260</v>
      </c>
      <c r="I22" s="58" t="s">
        <v>161</v>
      </c>
      <c r="J22" s="91" t="n">
        <v>-247000</v>
      </c>
    </row>
    <row r="23" customFormat="false" ht="15" hidden="false" customHeight="false" outlineLevel="0" collapsed="false">
      <c r="A23" s="55" t="s">
        <v>115</v>
      </c>
      <c r="B23" s="55" t="n">
        <v>10</v>
      </c>
      <c r="C23" s="55" t="n">
        <v>0</v>
      </c>
      <c r="D23" s="55" t="n">
        <v>0</v>
      </c>
      <c r="E23" s="55" t="n">
        <v>0</v>
      </c>
      <c r="F23" s="55" t="n">
        <v>0</v>
      </c>
      <c r="G23" s="92" t="n">
        <v>0</v>
      </c>
      <c r="H23" s="55" t="n">
        <v>260</v>
      </c>
      <c r="I23" s="56" t="s">
        <v>161</v>
      </c>
      <c r="J23" s="92" t="n">
        <v>-247000</v>
      </c>
    </row>
    <row r="24" customFormat="false" ht="15" hidden="false" customHeight="false" outlineLevel="0" collapsed="false">
      <c r="A24" s="57" t="s">
        <v>117</v>
      </c>
      <c r="B24" s="57" t="n">
        <v>9</v>
      </c>
      <c r="C24" s="57" t="n">
        <v>0</v>
      </c>
      <c r="D24" s="57" t="n">
        <v>0</v>
      </c>
      <c r="E24" s="57" t="n">
        <v>0</v>
      </c>
      <c r="F24" s="57" t="n">
        <v>0</v>
      </c>
      <c r="G24" s="91" t="n">
        <v>0</v>
      </c>
      <c r="H24" s="57" t="n">
        <v>260</v>
      </c>
      <c r="I24" s="58" t="s">
        <v>161</v>
      </c>
      <c r="J24" s="91" t="n">
        <v>-247000</v>
      </c>
    </row>
    <row r="25" customFormat="false" ht="15" hidden="false" customHeight="false" outlineLevel="0" collapsed="false">
      <c r="A25" s="55" t="s">
        <v>118</v>
      </c>
      <c r="B25" s="55" t="n">
        <v>10</v>
      </c>
      <c r="C25" s="55" t="n">
        <v>0</v>
      </c>
      <c r="D25" s="55" t="n">
        <v>0</v>
      </c>
      <c r="E25" s="55" t="n">
        <v>0</v>
      </c>
      <c r="F25" s="55" t="n">
        <v>0</v>
      </c>
      <c r="G25" s="92" t="n">
        <v>0</v>
      </c>
      <c r="H25" s="55" t="n">
        <v>260</v>
      </c>
      <c r="I25" s="56" t="s">
        <v>161</v>
      </c>
      <c r="J25" s="92" t="n">
        <v>-247000</v>
      </c>
    </row>
    <row r="26" customFormat="false" ht="15" hidden="false" customHeight="false" outlineLevel="0" collapsed="false">
      <c r="A26" s="57" t="s">
        <v>120</v>
      </c>
      <c r="B26" s="57" t="n">
        <v>9</v>
      </c>
      <c r="C26" s="57" t="n">
        <v>0</v>
      </c>
      <c r="D26" s="57" t="n">
        <v>0</v>
      </c>
      <c r="E26" s="57" t="n">
        <v>0</v>
      </c>
      <c r="F26" s="57" t="n">
        <v>0</v>
      </c>
      <c r="G26" s="91" t="n">
        <v>0</v>
      </c>
      <c r="H26" s="57" t="n">
        <v>260</v>
      </c>
      <c r="I26" s="58" t="s">
        <v>161</v>
      </c>
      <c r="J26" s="91" t="n">
        <v>-247000</v>
      </c>
    </row>
    <row r="27" customFormat="false" ht="15" hidden="false" customHeight="false" outlineLevel="0" collapsed="false">
      <c r="A27" s="55" t="s">
        <v>122</v>
      </c>
      <c r="B27" s="55" t="n">
        <v>9</v>
      </c>
      <c r="C27" s="55" t="n">
        <v>0</v>
      </c>
      <c r="D27" s="55" t="n">
        <v>0</v>
      </c>
      <c r="E27" s="55" t="n">
        <v>0</v>
      </c>
      <c r="F27" s="55" t="n">
        <v>0</v>
      </c>
      <c r="G27" s="92" t="n">
        <v>0</v>
      </c>
      <c r="H27" s="55" t="n">
        <v>260</v>
      </c>
      <c r="I27" s="56" t="s">
        <v>161</v>
      </c>
      <c r="J27" s="92" t="n">
        <v>-247000</v>
      </c>
    </row>
    <row r="28" customFormat="false" ht="15" hidden="false" customHeight="false" outlineLevel="0" collapsed="false">
      <c r="A28" s="57" t="s">
        <v>123</v>
      </c>
      <c r="B28" s="57" t="n">
        <v>9</v>
      </c>
      <c r="C28" s="57" t="n">
        <v>27</v>
      </c>
      <c r="D28" s="57" t="n">
        <v>62</v>
      </c>
      <c r="E28" s="57" t="n">
        <v>126</v>
      </c>
      <c r="F28" s="57" t="n">
        <v>215</v>
      </c>
      <c r="G28" s="91" t="n">
        <v>217200</v>
      </c>
      <c r="H28" s="57" t="n">
        <v>260</v>
      </c>
      <c r="I28" s="61" t="s">
        <v>253</v>
      </c>
      <c r="J28" s="91" t="n">
        <v>-29800</v>
      </c>
    </row>
    <row r="29" customFormat="false" ht="15" hidden="false" customHeight="false" outlineLevel="0" collapsed="false">
      <c r="A29" s="55" t="s">
        <v>124</v>
      </c>
      <c r="B29" s="55" t="n">
        <v>10</v>
      </c>
      <c r="C29" s="55" t="n">
        <v>25</v>
      </c>
      <c r="D29" s="55" t="n">
        <v>29</v>
      </c>
      <c r="E29" s="55" t="n">
        <v>127</v>
      </c>
      <c r="F29" s="55" t="n">
        <v>181</v>
      </c>
      <c r="G29" s="92" t="n">
        <v>181100</v>
      </c>
      <c r="H29" s="55" t="n">
        <v>260</v>
      </c>
      <c r="I29" s="56" t="s">
        <v>163</v>
      </c>
      <c r="J29" s="92" t="n">
        <v>-65900</v>
      </c>
    </row>
    <row r="30" customFormat="false" ht="15" hidden="false" customHeight="false" outlineLevel="0" collapsed="false">
      <c r="A30" s="57" t="s">
        <v>127</v>
      </c>
      <c r="B30" s="57" t="n">
        <v>10</v>
      </c>
      <c r="C30" s="57" t="n">
        <v>27</v>
      </c>
      <c r="D30" s="57" t="n">
        <v>30</v>
      </c>
      <c r="E30" s="57" t="n">
        <v>155</v>
      </c>
      <c r="F30" s="57" t="n">
        <v>212</v>
      </c>
      <c r="G30" s="91" t="n">
        <v>211150</v>
      </c>
      <c r="H30" s="57" t="n">
        <v>260</v>
      </c>
      <c r="I30" s="61" t="s">
        <v>164</v>
      </c>
      <c r="J30" s="91" t="n">
        <v>-35850</v>
      </c>
    </row>
    <row r="31" customFormat="false" ht="15" hidden="false" customHeight="false" outlineLevel="0" collapsed="false">
      <c r="A31" s="55" t="s">
        <v>129</v>
      </c>
      <c r="B31" s="55" t="n">
        <v>8</v>
      </c>
      <c r="C31" s="55" t="n">
        <v>27</v>
      </c>
      <c r="D31" s="55" t="n">
        <v>31</v>
      </c>
      <c r="E31" s="55" t="n">
        <v>104</v>
      </c>
      <c r="F31" s="55" t="n">
        <v>162</v>
      </c>
      <c r="G31" s="92" t="n">
        <v>163750</v>
      </c>
      <c r="H31" s="55" t="n">
        <v>260</v>
      </c>
      <c r="I31" s="56" t="s">
        <v>254</v>
      </c>
      <c r="J31" s="92" t="n">
        <v>-83250</v>
      </c>
    </row>
    <row r="32" customFormat="false" ht="15" hidden="false" customHeight="false" outlineLevel="0" collapsed="false">
      <c r="A32" s="57" t="s">
        <v>130</v>
      </c>
      <c r="B32" s="57" t="n">
        <v>8</v>
      </c>
      <c r="C32" s="57" t="n">
        <v>25</v>
      </c>
      <c r="D32" s="57" t="n">
        <v>30</v>
      </c>
      <c r="E32" s="57" t="n">
        <v>100</v>
      </c>
      <c r="F32" s="57" t="n">
        <v>155</v>
      </c>
      <c r="G32" s="91" t="n">
        <v>156500</v>
      </c>
      <c r="H32" s="57" t="n">
        <v>260</v>
      </c>
      <c r="I32" s="58" t="s">
        <v>255</v>
      </c>
      <c r="J32" s="91" t="n">
        <v>-90500</v>
      </c>
    </row>
    <row r="33" customFormat="false" ht="15" hidden="false" customHeight="false" outlineLevel="0" collapsed="false">
      <c r="A33" s="55" t="s">
        <v>131</v>
      </c>
      <c r="B33" s="55" t="n">
        <v>8</v>
      </c>
      <c r="C33" s="55" t="n">
        <v>27</v>
      </c>
      <c r="D33" s="55" t="n">
        <v>32</v>
      </c>
      <c r="E33" s="55" t="n">
        <v>93</v>
      </c>
      <c r="F33" s="55" t="n">
        <v>152</v>
      </c>
      <c r="G33" s="92" t="n">
        <v>154350</v>
      </c>
      <c r="H33" s="55" t="n">
        <v>260</v>
      </c>
      <c r="I33" s="56" t="s">
        <v>256</v>
      </c>
      <c r="J33" s="92" t="n">
        <v>-92650</v>
      </c>
    </row>
    <row r="34" customFormat="false" ht="15" hidden="false" customHeight="false" outlineLevel="0" collapsed="false">
      <c r="A34" s="57" t="s">
        <v>132</v>
      </c>
      <c r="B34" s="57" t="n">
        <v>9</v>
      </c>
      <c r="C34" s="57" t="n">
        <v>26</v>
      </c>
      <c r="D34" s="57" t="n">
        <v>32</v>
      </c>
      <c r="E34" s="57" t="n">
        <v>128</v>
      </c>
      <c r="F34" s="57" t="n">
        <v>186</v>
      </c>
      <c r="G34" s="91" t="n">
        <v>186400</v>
      </c>
      <c r="H34" s="57" t="n">
        <v>260</v>
      </c>
      <c r="I34" s="58" t="s">
        <v>257</v>
      </c>
      <c r="J34" s="91" t="n">
        <v>-60600</v>
      </c>
    </row>
    <row r="35" customFormat="false" ht="15" hidden="false" customHeight="false" outlineLevel="0" collapsed="false">
      <c r="A35" s="55" t="s">
        <v>133</v>
      </c>
      <c r="B35" s="55" t="n">
        <v>9</v>
      </c>
      <c r="C35" s="55" t="n">
        <v>26</v>
      </c>
      <c r="D35" s="55" t="n">
        <v>32</v>
      </c>
      <c r="E35" s="55" t="n">
        <v>145</v>
      </c>
      <c r="F35" s="55" t="n">
        <v>203</v>
      </c>
      <c r="G35" s="92" t="n">
        <v>202550</v>
      </c>
      <c r="H35" s="55" t="n">
        <v>260</v>
      </c>
      <c r="I35" s="60" t="s">
        <v>258</v>
      </c>
      <c r="J35" s="92" t="n">
        <v>-44450</v>
      </c>
    </row>
    <row r="36" customFormat="false" ht="15" hidden="false" customHeight="false" outlineLevel="0" collapsed="false">
      <c r="A36" s="57" t="s">
        <v>135</v>
      </c>
      <c r="B36" s="57" t="n">
        <v>10</v>
      </c>
      <c r="C36" s="57" t="n">
        <v>28</v>
      </c>
      <c r="D36" s="57" t="n">
        <v>32</v>
      </c>
      <c r="E36" s="57" t="n">
        <v>130</v>
      </c>
      <c r="F36" s="57" t="n">
        <v>190</v>
      </c>
      <c r="G36" s="91" t="n">
        <v>190700</v>
      </c>
      <c r="H36" s="57" t="n">
        <v>260</v>
      </c>
      <c r="I36" s="58" t="s">
        <v>167</v>
      </c>
      <c r="J36" s="91" t="n">
        <v>-56300</v>
      </c>
    </row>
    <row r="37" customFormat="false" ht="15" hidden="false" customHeight="false" outlineLevel="0" collapsed="false">
      <c r="A37" s="55" t="s">
        <v>137</v>
      </c>
      <c r="B37" s="55" t="n">
        <v>9</v>
      </c>
      <c r="C37" s="55" t="n">
        <v>4</v>
      </c>
      <c r="D37" s="55" t="n">
        <v>27</v>
      </c>
      <c r="E37" s="55" t="n">
        <v>143</v>
      </c>
      <c r="F37" s="55" t="n">
        <v>174</v>
      </c>
      <c r="G37" s="92" t="n">
        <v>169000</v>
      </c>
      <c r="H37" s="55" t="n">
        <v>260</v>
      </c>
      <c r="I37" s="56" t="s">
        <v>259</v>
      </c>
      <c r="J37" s="92" t="n">
        <v>-78000</v>
      </c>
    </row>
    <row r="38" customFormat="false" ht="15" hidden="false" customHeight="false" outlineLevel="0" collapsed="false">
      <c r="A38" s="57" t="s">
        <v>138</v>
      </c>
      <c r="B38" s="57" t="n">
        <v>9</v>
      </c>
      <c r="C38" s="57" t="n">
        <v>26</v>
      </c>
      <c r="D38" s="57" t="n">
        <v>31</v>
      </c>
      <c r="E38" s="57" t="n">
        <v>126</v>
      </c>
      <c r="F38" s="57" t="n">
        <v>183</v>
      </c>
      <c r="G38" s="91" t="n">
        <v>183450</v>
      </c>
      <c r="H38" s="57" t="n">
        <v>260</v>
      </c>
      <c r="I38" s="58" t="s">
        <v>260</v>
      </c>
      <c r="J38" s="91" t="n">
        <v>-63550</v>
      </c>
    </row>
    <row r="39" customFormat="false" ht="15" hidden="false" customHeight="false" outlineLevel="0" collapsed="false">
      <c r="A39" s="55" t="s">
        <v>140</v>
      </c>
      <c r="B39" s="55" t="n">
        <v>9</v>
      </c>
      <c r="C39" s="55" t="n">
        <v>26</v>
      </c>
      <c r="D39" s="55" t="n">
        <v>30</v>
      </c>
      <c r="E39" s="55" t="n">
        <v>116</v>
      </c>
      <c r="F39" s="55" t="n">
        <v>172</v>
      </c>
      <c r="G39" s="92" t="n">
        <v>172900</v>
      </c>
      <c r="H39" s="55" t="n">
        <v>260</v>
      </c>
      <c r="I39" s="56" t="s">
        <v>261</v>
      </c>
      <c r="J39" s="92" t="n">
        <v>-74100</v>
      </c>
    </row>
    <row r="40" customFormat="false" ht="15" hidden="false" customHeight="false" outlineLevel="0" collapsed="false">
      <c r="A40" s="57" t="s">
        <v>142</v>
      </c>
      <c r="B40" s="57" t="n">
        <v>9</v>
      </c>
      <c r="C40" s="57" t="n">
        <v>27</v>
      </c>
      <c r="D40" s="57" t="n">
        <v>32</v>
      </c>
      <c r="E40" s="57" t="n">
        <v>141</v>
      </c>
      <c r="F40" s="57" t="n">
        <v>200</v>
      </c>
      <c r="G40" s="91" t="n">
        <v>199950</v>
      </c>
      <c r="H40" s="57" t="n">
        <v>260</v>
      </c>
      <c r="I40" s="61" t="s">
        <v>262</v>
      </c>
      <c r="J40" s="91" t="n">
        <v>-47050</v>
      </c>
    </row>
    <row r="41" customFormat="false" ht="15" hidden="false" customHeight="false" outlineLevel="0" collapsed="false">
      <c r="A41" s="55" t="s">
        <v>143</v>
      </c>
      <c r="B41" s="55" t="n">
        <v>8</v>
      </c>
      <c r="C41" s="55" t="n">
        <v>20</v>
      </c>
      <c r="D41" s="55" t="n">
        <v>16</v>
      </c>
      <c r="E41" s="55" t="n">
        <v>149</v>
      </c>
      <c r="F41" s="55" t="n">
        <v>185</v>
      </c>
      <c r="G41" s="92" t="n">
        <v>182350</v>
      </c>
      <c r="H41" s="55" t="n">
        <v>260</v>
      </c>
      <c r="I41" s="56" t="s">
        <v>263</v>
      </c>
      <c r="J41" s="92" t="n">
        <v>-64650</v>
      </c>
    </row>
    <row r="42" customFormat="false" ht="15" hidden="false" customHeight="false" outlineLevel="0" collapsed="false">
      <c r="A42" s="57" t="s">
        <v>144</v>
      </c>
      <c r="B42" s="57" t="n">
        <v>9</v>
      </c>
      <c r="C42" s="57" t="n">
        <v>19</v>
      </c>
      <c r="D42" s="57" t="n">
        <v>32</v>
      </c>
      <c r="E42" s="57" t="n">
        <v>152</v>
      </c>
      <c r="F42" s="57" t="n">
        <v>203</v>
      </c>
      <c r="G42" s="91" t="n">
        <v>200800</v>
      </c>
      <c r="H42" s="57" t="n">
        <v>260</v>
      </c>
      <c r="I42" s="61" t="s">
        <v>258</v>
      </c>
      <c r="J42" s="91" t="n">
        <v>-46200</v>
      </c>
    </row>
    <row r="43" customFormat="false" ht="15" hidden="false" customHeight="false" outlineLevel="0" collapsed="false">
      <c r="A43" s="55" t="s">
        <v>145</v>
      </c>
      <c r="B43" s="55" t="n">
        <v>9</v>
      </c>
      <c r="C43" s="55" t="n">
        <v>26</v>
      </c>
      <c r="D43" s="55" t="n">
        <v>34</v>
      </c>
      <c r="E43" s="55" t="n">
        <v>150</v>
      </c>
      <c r="F43" s="55" t="n">
        <v>210</v>
      </c>
      <c r="G43" s="92" t="n">
        <v>209400</v>
      </c>
      <c r="H43" s="55" t="n">
        <v>260</v>
      </c>
      <c r="I43" s="60" t="s">
        <v>264</v>
      </c>
      <c r="J43" s="92" t="n">
        <v>-37600</v>
      </c>
    </row>
    <row r="44" customFormat="false" ht="15" hidden="false" customHeight="false" outlineLevel="0" collapsed="false">
      <c r="A44" s="57" t="s">
        <v>146</v>
      </c>
      <c r="B44" s="57" t="n">
        <v>9</v>
      </c>
      <c r="C44" s="57" t="n">
        <v>26</v>
      </c>
      <c r="D44" s="57" t="n">
        <v>30</v>
      </c>
      <c r="E44" s="57" t="n">
        <v>122</v>
      </c>
      <c r="F44" s="57" t="n">
        <v>178</v>
      </c>
      <c r="G44" s="91" t="n">
        <v>178600</v>
      </c>
      <c r="H44" s="57" t="n">
        <v>260</v>
      </c>
      <c r="I44" s="58" t="s">
        <v>265</v>
      </c>
      <c r="J44" s="91" t="n">
        <v>-68400</v>
      </c>
    </row>
    <row r="45" customFormat="false" ht="15" hidden="false" customHeight="false" outlineLevel="0" collapsed="false">
      <c r="A45" s="55" t="s">
        <v>147</v>
      </c>
      <c r="B45" s="55" t="n">
        <v>10</v>
      </c>
      <c r="C45" s="55" t="n">
        <v>27</v>
      </c>
      <c r="D45" s="55" t="n">
        <v>70</v>
      </c>
      <c r="E45" s="55" t="n">
        <v>143</v>
      </c>
      <c r="F45" s="55" t="n">
        <v>240</v>
      </c>
      <c r="G45" s="92" t="n">
        <v>241750</v>
      </c>
      <c r="H45" s="55" t="n">
        <v>260</v>
      </c>
      <c r="I45" s="59" t="s">
        <v>177</v>
      </c>
      <c r="J45" s="92" t="n">
        <v>-5250</v>
      </c>
    </row>
    <row r="46" customFormat="false" ht="15" hidden="false" customHeight="false" outlineLevel="0" collapsed="false">
      <c r="A46" s="57" t="s">
        <v>149</v>
      </c>
      <c r="B46" s="57" t="n">
        <v>10</v>
      </c>
      <c r="C46" s="57" t="n">
        <v>25</v>
      </c>
      <c r="D46" s="57" t="n">
        <v>73</v>
      </c>
      <c r="E46" s="57" t="n">
        <v>149</v>
      </c>
      <c r="F46" s="57" t="n">
        <v>247</v>
      </c>
      <c r="G46" s="91" t="n">
        <v>248200</v>
      </c>
      <c r="H46" s="57" t="n">
        <v>260</v>
      </c>
      <c r="I46" s="62" t="s">
        <v>178</v>
      </c>
      <c r="J46" s="91" t="n">
        <v>1200</v>
      </c>
    </row>
    <row r="47" customFormat="false" ht="15" hidden="false" customHeight="false" outlineLevel="0" collapsed="false">
      <c r="A47" s="55" t="s">
        <v>151</v>
      </c>
      <c r="B47" s="55" t="n">
        <v>10</v>
      </c>
      <c r="C47" s="55" t="n">
        <v>27</v>
      </c>
      <c r="D47" s="55" t="n">
        <v>69</v>
      </c>
      <c r="E47" s="55" t="n">
        <v>146</v>
      </c>
      <c r="F47" s="55" t="n">
        <v>242</v>
      </c>
      <c r="G47" s="92" t="n">
        <v>243550</v>
      </c>
      <c r="H47" s="55" t="n">
        <v>260</v>
      </c>
      <c r="I47" s="59" t="s">
        <v>179</v>
      </c>
      <c r="J47" s="92" t="n">
        <v>-3450</v>
      </c>
    </row>
    <row r="48" customFormat="false" ht="15" hidden="false" customHeight="false" outlineLevel="0" collapsed="false">
      <c r="A48" s="57" t="s">
        <v>152</v>
      </c>
      <c r="B48" s="57" t="n">
        <v>10</v>
      </c>
      <c r="C48" s="57" t="n">
        <v>27</v>
      </c>
      <c r="D48" s="57" t="n">
        <v>76</v>
      </c>
      <c r="E48" s="57" t="n">
        <v>126</v>
      </c>
      <c r="F48" s="57" t="n">
        <v>229</v>
      </c>
      <c r="G48" s="91" t="n">
        <v>231900</v>
      </c>
      <c r="H48" s="57" t="n">
        <v>260</v>
      </c>
      <c r="I48" s="61" t="s">
        <v>180</v>
      </c>
      <c r="J48" s="91" t="n">
        <v>-15100</v>
      </c>
    </row>
  </sheetData>
  <mergeCells count="4">
    <mergeCell ref="B2:R2"/>
    <mergeCell ref="B3:R3"/>
    <mergeCell ref="A6:L6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A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5" min="2" style="0" width="1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266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267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18" hidden="false" customHeight="true" outlineLevel="0" collapsed="false">
      <c r="A6" s="46" t="s">
        <v>89</v>
      </c>
      <c r="B6" s="8" t="s">
        <v>96</v>
      </c>
      <c r="C6" s="8" t="s">
        <v>109</v>
      </c>
      <c r="D6" s="8" t="s">
        <v>110</v>
      </c>
      <c r="E6" s="8" t="s">
        <v>111</v>
      </c>
      <c r="F6" s="8" t="s">
        <v>112</v>
      </c>
      <c r="G6" s="8" t="s">
        <v>113</v>
      </c>
      <c r="H6" s="8" t="s">
        <v>114</v>
      </c>
      <c r="I6" s="8" t="s">
        <v>115</v>
      </c>
      <c r="J6" s="8" t="s">
        <v>117</v>
      </c>
      <c r="K6" s="8" t="s">
        <v>118</v>
      </c>
      <c r="L6" s="8" t="s">
        <v>120</v>
      </c>
      <c r="M6" s="8" t="s">
        <v>122</v>
      </c>
      <c r="N6" s="8" t="s">
        <v>123</v>
      </c>
      <c r="O6" s="8" t="s">
        <v>124</v>
      </c>
      <c r="P6" s="8" t="s">
        <v>127</v>
      </c>
      <c r="Q6" s="8" t="s">
        <v>129</v>
      </c>
      <c r="R6" s="8" t="s">
        <v>130</v>
      </c>
      <c r="S6" s="8" t="s">
        <v>131</v>
      </c>
      <c r="T6" s="8" t="s">
        <v>132</v>
      </c>
      <c r="U6" s="8" t="s">
        <v>133</v>
      </c>
      <c r="V6" s="8" t="s">
        <v>135</v>
      </c>
      <c r="W6" s="8" t="s">
        <v>137</v>
      </c>
      <c r="X6" s="8" t="s">
        <v>138</v>
      </c>
      <c r="Y6" s="8" t="s">
        <v>140</v>
      </c>
      <c r="Z6" s="8" t="s">
        <v>142</v>
      </c>
      <c r="AA6" s="8" t="s">
        <v>143</v>
      </c>
      <c r="AB6" s="8" t="s">
        <v>144</v>
      </c>
      <c r="AC6" s="8" t="s">
        <v>145</v>
      </c>
      <c r="AD6" s="8" t="s">
        <v>146</v>
      </c>
      <c r="AE6" s="8" t="s">
        <v>147</v>
      </c>
      <c r="AF6" s="8" t="s">
        <v>149</v>
      </c>
      <c r="AG6" s="8" t="s">
        <v>151</v>
      </c>
      <c r="AH6" s="8" t="s">
        <v>152</v>
      </c>
      <c r="AI6" s="8" t="s">
        <v>237</v>
      </c>
    </row>
    <row r="7" customFormat="false" ht="18" hidden="false" customHeight="true" outlineLevel="0" collapsed="false">
      <c r="A7" s="93" t="s">
        <v>108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4" t="n">
        <v>1</v>
      </c>
      <c r="V7" s="95" t="n">
        <v>22</v>
      </c>
      <c r="W7" s="50"/>
      <c r="X7" s="50"/>
      <c r="Y7" s="50"/>
      <c r="Z7" s="50"/>
      <c r="AA7" s="50"/>
      <c r="AB7" s="50"/>
      <c r="AC7" s="96" t="n">
        <v>4</v>
      </c>
      <c r="AD7" s="95" t="n">
        <v>26</v>
      </c>
      <c r="AE7" s="97" t="n">
        <v>9</v>
      </c>
      <c r="AF7" s="50"/>
      <c r="AG7" s="94" t="n">
        <v>1</v>
      </c>
      <c r="AH7" s="95" t="n">
        <v>21</v>
      </c>
      <c r="AI7" s="46" t="n">
        <v>84</v>
      </c>
    </row>
    <row r="8" customFormat="false" ht="18" hidden="false" customHeight="true" outlineLevel="0" collapsed="false">
      <c r="A8" s="93" t="s">
        <v>139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95" t="n">
        <v>21</v>
      </c>
      <c r="Y8" s="95" t="n">
        <v>26</v>
      </c>
      <c r="Z8" s="98" t="n">
        <v>6</v>
      </c>
      <c r="AA8" s="50"/>
      <c r="AB8" s="50"/>
      <c r="AC8" s="50"/>
      <c r="AD8" s="50"/>
      <c r="AE8" s="50"/>
      <c r="AF8" s="50"/>
      <c r="AG8" s="50"/>
      <c r="AH8" s="50"/>
      <c r="AI8" s="46" t="n">
        <v>53</v>
      </c>
    </row>
    <row r="9" customFormat="false" ht="18" hidden="false" customHeight="true" outlineLevel="0" collapsed="false">
      <c r="A9" s="93" t="s">
        <v>107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99" t="n">
        <v>5</v>
      </c>
      <c r="O9" s="50"/>
      <c r="P9" s="50"/>
      <c r="Q9" s="100" t="n">
        <v>2</v>
      </c>
      <c r="R9" s="100" t="n">
        <v>2</v>
      </c>
      <c r="S9" s="100" t="n">
        <v>2</v>
      </c>
      <c r="T9" s="50"/>
      <c r="U9" s="50"/>
      <c r="V9" s="50"/>
      <c r="W9" s="50"/>
      <c r="X9" s="101" t="n">
        <v>8</v>
      </c>
      <c r="Y9" s="50"/>
      <c r="Z9" s="97" t="n">
        <v>9</v>
      </c>
      <c r="AA9" s="50"/>
      <c r="AB9" s="96" t="n">
        <v>4</v>
      </c>
      <c r="AC9" s="94" t="n">
        <v>1</v>
      </c>
      <c r="AD9" s="96" t="n">
        <v>4</v>
      </c>
      <c r="AE9" s="100" t="n">
        <v>2</v>
      </c>
      <c r="AF9" s="96" t="n">
        <v>4</v>
      </c>
      <c r="AG9" s="99" t="n">
        <v>5</v>
      </c>
      <c r="AH9" s="100" t="n">
        <v>2</v>
      </c>
      <c r="AI9" s="46" t="n">
        <v>50</v>
      </c>
    </row>
    <row r="10" customFormat="false" ht="18" hidden="false" customHeight="true" outlineLevel="0" collapsed="false">
      <c r="A10" s="93" t="s">
        <v>136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94" t="n">
        <v>1</v>
      </c>
      <c r="X10" s="100" t="n">
        <v>2</v>
      </c>
      <c r="Y10" s="95" t="n">
        <v>10</v>
      </c>
      <c r="Z10" s="100" t="n">
        <v>2</v>
      </c>
      <c r="AA10" s="96" t="n">
        <v>4</v>
      </c>
      <c r="AB10" s="100" t="n">
        <v>2</v>
      </c>
      <c r="AC10" s="99" t="n">
        <v>5</v>
      </c>
      <c r="AD10" s="50"/>
      <c r="AE10" s="102" t="n">
        <v>7</v>
      </c>
      <c r="AF10" s="103" t="n">
        <v>3</v>
      </c>
      <c r="AG10" s="95" t="n">
        <v>10</v>
      </c>
      <c r="AH10" s="103" t="n">
        <v>3</v>
      </c>
      <c r="AI10" s="46" t="n">
        <v>49</v>
      </c>
    </row>
    <row r="11" customFormat="false" ht="18" hidden="false" customHeight="true" outlineLevel="0" collapsed="false">
      <c r="A11" s="93" t="s">
        <v>101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95" t="n">
        <v>30</v>
      </c>
      <c r="P11" s="95" t="n">
        <v>17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46" t="n">
        <v>47</v>
      </c>
    </row>
    <row r="12" customFormat="false" ht="18" hidden="false" customHeight="true" outlineLevel="0" collapsed="false">
      <c r="A12" s="93" t="s">
        <v>105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95" t="n">
        <v>24</v>
      </c>
      <c r="X12" s="50"/>
      <c r="Y12" s="50"/>
      <c r="Z12" s="50"/>
      <c r="AA12" s="99" t="n">
        <v>5</v>
      </c>
      <c r="AB12" s="97" t="n">
        <v>9</v>
      </c>
      <c r="AC12" s="50"/>
      <c r="AD12" s="50"/>
      <c r="AE12" s="50"/>
      <c r="AF12" s="50"/>
      <c r="AG12" s="50"/>
      <c r="AH12" s="50"/>
      <c r="AI12" s="46" t="n">
        <v>38</v>
      </c>
    </row>
    <row r="13" customFormat="false" ht="18" hidden="false" customHeight="true" outlineLevel="0" collapsed="false">
      <c r="A13" s="93" t="s">
        <v>102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94" t="n">
        <v>1</v>
      </c>
      <c r="O13" s="99" t="n">
        <v>5</v>
      </c>
      <c r="P13" s="50"/>
      <c r="Q13" s="50"/>
      <c r="R13" s="50"/>
      <c r="S13" s="94" t="n">
        <v>1</v>
      </c>
      <c r="T13" s="50"/>
      <c r="U13" s="50"/>
      <c r="V13" s="50"/>
      <c r="W13" s="50"/>
      <c r="X13" s="100" t="n">
        <v>2</v>
      </c>
      <c r="Y13" s="50"/>
      <c r="Z13" s="100" t="n">
        <v>2</v>
      </c>
      <c r="AA13" s="50"/>
      <c r="AB13" s="50"/>
      <c r="AC13" s="50"/>
      <c r="AD13" s="100" t="n">
        <v>2</v>
      </c>
      <c r="AE13" s="50"/>
      <c r="AF13" s="50"/>
      <c r="AG13" s="50"/>
      <c r="AH13" s="97" t="n">
        <v>9</v>
      </c>
      <c r="AI13" s="46" t="n">
        <v>22</v>
      </c>
    </row>
    <row r="14" customFormat="false" ht="18" hidden="false" customHeight="true" outlineLevel="0" collapsed="false">
      <c r="A14" s="93" t="s">
        <v>119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94" t="n">
        <v>1</v>
      </c>
      <c r="P14" s="97" t="n">
        <v>9</v>
      </c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6" t="n">
        <v>10</v>
      </c>
    </row>
    <row r="15" customFormat="false" ht="18" hidden="false" customHeight="true" outlineLevel="0" collapsed="false">
      <c r="A15" s="93" t="s">
        <v>98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94" t="n">
        <v>1</v>
      </c>
      <c r="O15" s="50"/>
      <c r="P15" s="100" t="n">
        <v>2</v>
      </c>
      <c r="Q15" s="50"/>
      <c r="R15" s="50"/>
      <c r="S15" s="96" t="n">
        <v>4</v>
      </c>
      <c r="T15" s="94" t="n">
        <v>1</v>
      </c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6" t="n">
        <v>8</v>
      </c>
    </row>
    <row r="16" customFormat="false" ht="18" hidden="false" customHeight="true" outlineLevel="0" collapsed="false">
      <c r="A16" s="93" t="s">
        <v>128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102" t="n">
        <v>7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94" t="n">
        <v>1</v>
      </c>
      <c r="AF16" s="50"/>
      <c r="AG16" s="50"/>
      <c r="AH16" s="50"/>
      <c r="AI16" s="46" t="n">
        <v>8</v>
      </c>
    </row>
    <row r="17" customFormat="false" ht="18" hidden="false" customHeight="true" outlineLevel="0" collapsed="false">
      <c r="A17" s="93" t="s">
        <v>126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99" t="n">
        <v>5</v>
      </c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6" t="n">
        <v>5</v>
      </c>
    </row>
    <row r="18" customFormat="false" ht="18" hidden="false" customHeight="true" outlineLevel="0" collapsed="false">
      <c r="A18" s="93" t="s">
        <v>103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99" t="n">
        <v>5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6" t="n">
        <v>5</v>
      </c>
    </row>
    <row r="19" customFormat="false" ht="18" hidden="false" customHeight="true" outlineLevel="0" collapsed="false">
      <c r="A19" s="93" t="s">
        <v>141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00" t="n">
        <v>2</v>
      </c>
      <c r="Z19" s="50"/>
      <c r="AA19" s="94" t="n">
        <v>1</v>
      </c>
      <c r="AB19" s="94" t="n">
        <v>1</v>
      </c>
      <c r="AC19" s="50"/>
      <c r="AD19" s="50"/>
      <c r="AE19" s="50"/>
      <c r="AF19" s="50"/>
      <c r="AG19" s="50"/>
      <c r="AH19" s="50"/>
      <c r="AI19" s="46" t="n">
        <v>4</v>
      </c>
    </row>
    <row r="20" customFormat="false" ht="18" hidden="false" customHeight="true" outlineLevel="0" collapsed="false">
      <c r="A20" s="93" t="s">
        <v>134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94" t="n">
        <v>1</v>
      </c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6" t="n">
        <v>1</v>
      </c>
    </row>
    <row r="21" customFormat="false" ht="18" hidden="false" customHeight="true" outlineLevel="0" collapsed="false">
      <c r="A21" s="93" t="s">
        <v>116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6" t="n">
        <v>0</v>
      </c>
    </row>
    <row r="22" customFormat="false" ht="18" hidden="false" customHeight="true" outlineLevel="0" collapsed="false">
      <c r="A22" s="93" t="s">
        <v>121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6" t="n">
        <v>0</v>
      </c>
    </row>
    <row r="23" customFormat="false" ht="18" hidden="false" customHeight="true" outlineLevel="0" collapsed="false">
      <c r="A23" s="93" t="s">
        <v>125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6" t="n">
        <v>0</v>
      </c>
    </row>
    <row r="24" customFormat="false" ht="18" hidden="false" customHeight="true" outlineLevel="0" collapsed="false">
      <c r="A24" s="93" t="s">
        <v>106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6" t="n">
        <v>0</v>
      </c>
    </row>
    <row r="25" customFormat="false" ht="18" hidden="false" customHeight="true" outlineLevel="0" collapsed="false">
      <c r="A25" s="93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6" t="n">
        <v>0</v>
      </c>
    </row>
    <row r="26" customFormat="false" ht="18" hidden="false" customHeight="true" outlineLevel="0" collapsed="false">
      <c r="A26" s="93" t="s">
        <v>148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6" t="n">
        <v>0</v>
      </c>
    </row>
    <row r="27" customFormat="false" ht="18" hidden="false" customHeight="true" outlineLevel="0" collapsed="false">
      <c r="A27" s="93" t="s">
        <v>153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6" t="n">
        <v>0</v>
      </c>
    </row>
    <row r="28" customFormat="false" ht="18" hidden="false" customHeight="true" outlineLevel="0" collapsed="false">
      <c r="A28" s="93" t="s">
        <v>150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6" t="n">
        <v>0</v>
      </c>
    </row>
  </sheetData>
  <mergeCells count="2">
    <mergeCell ref="B2:R2"/>
    <mergeCell ref="B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S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268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269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21.75" hidden="false" customHeight="true" outlineLevel="0" collapsed="false">
      <c r="A6" s="7" t="s">
        <v>270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8" customFormat="false" ht="19.5" hidden="false" customHeight="true" outlineLevel="0" collapsed="false">
      <c r="A8" s="46" t="s">
        <v>86</v>
      </c>
      <c r="B8" s="46" t="s">
        <v>271</v>
      </c>
      <c r="C8" s="46" t="s">
        <v>272</v>
      </c>
      <c r="D8" s="46" t="s">
        <v>273</v>
      </c>
      <c r="E8" s="46" t="s">
        <v>274</v>
      </c>
      <c r="F8" s="46" t="s">
        <v>275</v>
      </c>
    </row>
    <row r="9" customFormat="false" ht="15" hidden="false" customHeight="false" outlineLevel="0" collapsed="false">
      <c r="A9" s="55" t="s">
        <v>96</v>
      </c>
      <c r="B9" s="55" t="n">
        <v>6</v>
      </c>
      <c r="C9" s="55" t="n">
        <v>32</v>
      </c>
      <c r="D9" s="92" t="n">
        <v>28800</v>
      </c>
      <c r="E9" s="56" t="s">
        <v>276</v>
      </c>
      <c r="F9" s="55" t="s">
        <v>277</v>
      </c>
    </row>
    <row r="10" customFormat="false" ht="15" hidden="false" customHeight="false" outlineLevel="0" collapsed="false">
      <c r="A10" s="57" t="s">
        <v>109</v>
      </c>
      <c r="B10" s="57" t="n">
        <v>6</v>
      </c>
      <c r="C10" s="57" t="n">
        <v>53</v>
      </c>
      <c r="D10" s="91" t="n">
        <v>47700</v>
      </c>
      <c r="E10" s="58" t="s">
        <v>278</v>
      </c>
      <c r="F10" s="57" t="s">
        <v>279</v>
      </c>
    </row>
    <row r="11" customFormat="false" ht="15" hidden="false" customHeight="false" outlineLevel="0" collapsed="false">
      <c r="A11" s="55" t="s">
        <v>110</v>
      </c>
      <c r="B11" s="55" t="n">
        <v>5</v>
      </c>
      <c r="C11" s="55" t="n">
        <v>28</v>
      </c>
      <c r="D11" s="92" t="n">
        <v>25200</v>
      </c>
      <c r="E11" s="56" t="s">
        <v>280</v>
      </c>
      <c r="F11" s="55" t="s">
        <v>281</v>
      </c>
    </row>
    <row r="12" customFormat="false" ht="15" hidden="false" customHeight="false" outlineLevel="0" collapsed="false">
      <c r="A12" s="57" t="s">
        <v>111</v>
      </c>
      <c r="B12" s="57" t="n">
        <v>6</v>
      </c>
      <c r="C12" s="57" t="n">
        <v>24</v>
      </c>
      <c r="D12" s="91" t="n">
        <v>21600</v>
      </c>
      <c r="E12" s="58" t="s">
        <v>282</v>
      </c>
      <c r="F12" s="57" t="s">
        <v>283</v>
      </c>
    </row>
    <row r="13" customFormat="false" ht="15" hidden="false" customHeight="false" outlineLevel="0" collapsed="false">
      <c r="A13" s="55" t="s">
        <v>112</v>
      </c>
      <c r="B13" s="55" t="n">
        <v>5</v>
      </c>
      <c r="C13" s="55" t="n">
        <v>32</v>
      </c>
      <c r="D13" s="92" t="n">
        <v>28800</v>
      </c>
      <c r="E13" s="56" t="s">
        <v>276</v>
      </c>
      <c r="F13" s="55" t="s">
        <v>284</v>
      </c>
    </row>
    <row r="14" customFormat="false" ht="15" hidden="false" customHeight="false" outlineLevel="0" collapsed="false">
      <c r="A14" s="57" t="s">
        <v>113</v>
      </c>
      <c r="B14" s="57" t="n">
        <v>7</v>
      </c>
      <c r="C14" s="57" t="n">
        <v>25</v>
      </c>
      <c r="D14" s="91" t="n">
        <v>22500</v>
      </c>
      <c r="E14" s="58" t="s">
        <v>285</v>
      </c>
      <c r="F14" s="57" t="s">
        <v>286</v>
      </c>
    </row>
    <row r="15" customFormat="false" ht="15" hidden="false" customHeight="false" outlineLevel="0" collapsed="false">
      <c r="A15" s="55" t="s">
        <v>114</v>
      </c>
      <c r="B15" s="55" t="n">
        <v>7</v>
      </c>
      <c r="C15" s="55" t="n">
        <v>29</v>
      </c>
      <c r="D15" s="92" t="n">
        <v>26100</v>
      </c>
      <c r="E15" s="56" t="s">
        <v>287</v>
      </c>
      <c r="F15" s="55" t="s">
        <v>288</v>
      </c>
    </row>
    <row r="16" customFormat="false" ht="15" hidden="false" customHeight="false" outlineLevel="0" collapsed="false">
      <c r="A16" s="57" t="s">
        <v>115</v>
      </c>
      <c r="B16" s="57" t="n">
        <v>5</v>
      </c>
      <c r="C16" s="57" t="n">
        <v>39</v>
      </c>
      <c r="D16" s="91" t="n">
        <v>35100</v>
      </c>
      <c r="E16" s="58" t="s">
        <v>289</v>
      </c>
      <c r="F16" s="57" t="s">
        <v>290</v>
      </c>
    </row>
    <row r="17" customFormat="false" ht="15" hidden="false" customHeight="false" outlineLevel="0" collapsed="false">
      <c r="A17" s="55" t="s">
        <v>117</v>
      </c>
      <c r="B17" s="55" t="n">
        <v>5</v>
      </c>
      <c r="C17" s="55" t="n">
        <v>31</v>
      </c>
      <c r="D17" s="92" t="n">
        <v>27900</v>
      </c>
      <c r="E17" s="56" t="s">
        <v>291</v>
      </c>
      <c r="F17" s="55" t="s">
        <v>292</v>
      </c>
    </row>
    <row r="18" customFormat="false" ht="15" hidden="false" customHeight="false" outlineLevel="0" collapsed="false">
      <c r="A18" s="57" t="s">
        <v>118</v>
      </c>
      <c r="B18" s="57" t="n">
        <v>7</v>
      </c>
      <c r="C18" s="57" t="n">
        <v>48</v>
      </c>
      <c r="D18" s="91" t="n">
        <v>43200</v>
      </c>
      <c r="E18" s="58" t="s">
        <v>293</v>
      </c>
      <c r="F18" s="57" t="s">
        <v>294</v>
      </c>
    </row>
    <row r="19" customFormat="false" ht="15" hidden="false" customHeight="false" outlineLevel="0" collapsed="false">
      <c r="A19" s="55" t="s">
        <v>120</v>
      </c>
      <c r="B19" s="55" t="n">
        <v>7</v>
      </c>
      <c r="C19" s="55" t="n">
        <v>42</v>
      </c>
      <c r="D19" s="92" t="n">
        <v>37800</v>
      </c>
      <c r="E19" s="56" t="s">
        <v>295</v>
      </c>
      <c r="F19" s="55" t="s">
        <v>296</v>
      </c>
    </row>
    <row r="20" customFormat="false" ht="15" hidden="false" customHeight="false" outlineLevel="0" collapsed="false">
      <c r="A20" s="57" t="s">
        <v>122</v>
      </c>
      <c r="B20" s="57" t="n">
        <v>0</v>
      </c>
      <c r="C20" s="57" t="n">
        <v>0</v>
      </c>
      <c r="D20" s="91" t="n">
        <v>0</v>
      </c>
      <c r="E20" s="62" t="s">
        <v>161</v>
      </c>
      <c r="F20" s="57" t="s">
        <v>297</v>
      </c>
    </row>
    <row r="21" customFormat="false" ht="15" hidden="false" customHeight="false" outlineLevel="0" collapsed="false">
      <c r="A21" s="55" t="s">
        <v>123</v>
      </c>
      <c r="B21" s="55" t="n">
        <v>5</v>
      </c>
      <c r="C21" s="55" t="n">
        <v>33</v>
      </c>
      <c r="D21" s="92" t="n">
        <v>29700</v>
      </c>
      <c r="E21" s="60" t="s">
        <v>298</v>
      </c>
      <c r="F21" s="55" t="s">
        <v>288</v>
      </c>
    </row>
    <row r="22" customFormat="false" ht="15" hidden="false" customHeight="false" outlineLevel="0" collapsed="false">
      <c r="A22" s="57" t="s">
        <v>124</v>
      </c>
      <c r="B22" s="57" t="n">
        <v>6</v>
      </c>
      <c r="C22" s="57" t="n">
        <v>57</v>
      </c>
      <c r="D22" s="91" t="n">
        <v>51300</v>
      </c>
      <c r="E22" s="58" t="s">
        <v>299</v>
      </c>
      <c r="F22" s="57" t="s">
        <v>300</v>
      </c>
    </row>
    <row r="23" customFormat="false" ht="15" hidden="false" customHeight="false" outlineLevel="0" collapsed="false">
      <c r="A23" s="55" t="s">
        <v>127</v>
      </c>
      <c r="B23" s="55" t="n">
        <v>5</v>
      </c>
      <c r="C23" s="55" t="n">
        <v>30</v>
      </c>
      <c r="D23" s="92" t="n">
        <v>27000</v>
      </c>
      <c r="E23" s="60" t="s">
        <v>301</v>
      </c>
      <c r="F23" s="55" t="s">
        <v>302</v>
      </c>
    </row>
    <row r="24" customFormat="false" ht="15" hidden="false" customHeight="false" outlineLevel="0" collapsed="false">
      <c r="A24" s="57" t="s">
        <v>129</v>
      </c>
      <c r="B24" s="57" t="n">
        <v>6</v>
      </c>
      <c r="C24" s="57" t="n">
        <v>51</v>
      </c>
      <c r="D24" s="91" t="n">
        <v>45900</v>
      </c>
      <c r="E24" s="58" t="s">
        <v>299</v>
      </c>
      <c r="F24" s="57" t="s">
        <v>303</v>
      </c>
    </row>
    <row r="25" customFormat="false" ht="15" hidden="false" customHeight="false" outlineLevel="0" collapsed="false">
      <c r="A25" s="55" t="s">
        <v>130</v>
      </c>
      <c r="B25" s="55" t="n">
        <v>6</v>
      </c>
      <c r="C25" s="55" t="n">
        <v>48</v>
      </c>
      <c r="D25" s="92" t="n">
        <v>43200</v>
      </c>
      <c r="E25" s="56" t="s">
        <v>304</v>
      </c>
      <c r="F25" s="55" t="s">
        <v>303</v>
      </c>
    </row>
    <row r="26" customFormat="false" ht="15" hidden="false" customHeight="false" outlineLevel="0" collapsed="false">
      <c r="A26" s="57" t="s">
        <v>131</v>
      </c>
      <c r="B26" s="57" t="n">
        <v>6</v>
      </c>
      <c r="C26" s="57" t="n">
        <v>58</v>
      </c>
      <c r="D26" s="91" t="n">
        <v>52200</v>
      </c>
      <c r="E26" s="58" t="s">
        <v>305</v>
      </c>
      <c r="F26" s="57" t="s">
        <v>306</v>
      </c>
    </row>
    <row r="27" customFormat="false" ht="15" hidden="false" customHeight="false" outlineLevel="0" collapsed="false">
      <c r="A27" s="55" t="s">
        <v>132</v>
      </c>
      <c r="B27" s="55" t="n">
        <v>7</v>
      </c>
      <c r="C27" s="55" t="n">
        <v>55</v>
      </c>
      <c r="D27" s="92" t="n">
        <v>49500</v>
      </c>
      <c r="E27" s="56" t="s">
        <v>307</v>
      </c>
      <c r="F27" s="55" t="s">
        <v>303</v>
      </c>
    </row>
    <row r="28" customFormat="false" ht="15" hidden="false" customHeight="false" outlineLevel="0" collapsed="false">
      <c r="A28" s="57" t="s">
        <v>133</v>
      </c>
      <c r="B28" s="57" t="n">
        <v>7</v>
      </c>
      <c r="C28" s="57" t="n">
        <v>44</v>
      </c>
      <c r="D28" s="91" t="n">
        <v>39600</v>
      </c>
      <c r="E28" s="58" t="s">
        <v>308</v>
      </c>
      <c r="F28" s="57" t="s">
        <v>306</v>
      </c>
    </row>
    <row r="29" customFormat="false" ht="15" hidden="false" customHeight="false" outlineLevel="0" collapsed="false">
      <c r="A29" s="55" t="s">
        <v>135</v>
      </c>
      <c r="B29" s="55" t="n">
        <v>7</v>
      </c>
      <c r="C29" s="55" t="n">
        <v>58</v>
      </c>
      <c r="D29" s="92" t="n">
        <v>52200</v>
      </c>
      <c r="E29" s="56" t="s">
        <v>309</v>
      </c>
      <c r="F29" s="55" t="s">
        <v>310</v>
      </c>
    </row>
    <row r="30" customFormat="false" ht="15" hidden="false" customHeight="false" outlineLevel="0" collapsed="false">
      <c r="A30" s="57" t="s">
        <v>137</v>
      </c>
      <c r="B30" s="57" t="n">
        <v>7</v>
      </c>
      <c r="C30" s="57" t="n">
        <v>46</v>
      </c>
      <c r="D30" s="91" t="n">
        <v>41400</v>
      </c>
      <c r="E30" s="58" t="s">
        <v>311</v>
      </c>
      <c r="F30" s="57" t="s">
        <v>303</v>
      </c>
    </row>
    <row r="31" customFormat="false" ht="15" hidden="false" customHeight="false" outlineLevel="0" collapsed="false">
      <c r="A31" s="55" t="s">
        <v>138</v>
      </c>
      <c r="B31" s="55" t="n">
        <v>8</v>
      </c>
      <c r="C31" s="55" t="n">
        <v>61</v>
      </c>
      <c r="D31" s="92" t="n">
        <v>54900</v>
      </c>
      <c r="E31" s="56" t="s">
        <v>312</v>
      </c>
      <c r="F31" s="55" t="s">
        <v>306</v>
      </c>
    </row>
    <row r="32" customFormat="false" ht="15" hidden="false" customHeight="false" outlineLevel="0" collapsed="false">
      <c r="A32" s="57" t="s">
        <v>140</v>
      </c>
      <c r="B32" s="57" t="n">
        <v>7</v>
      </c>
      <c r="C32" s="57" t="n">
        <v>69</v>
      </c>
      <c r="D32" s="91" t="n">
        <v>62100</v>
      </c>
      <c r="E32" s="58" t="s">
        <v>313</v>
      </c>
      <c r="F32" s="57" t="s">
        <v>306</v>
      </c>
    </row>
    <row r="33" customFormat="false" ht="15" hidden="false" customHeight="false" outlineLevel="0" collapsed="false">
      <c r="A33" s="55" t="s">
        <v>142</v>
      </c>
      <c r="B33" s="55" t="n">
        <v>8</v>
      </c>
      <c r="C33" s="55" t="n">
        <v>68</v>
      </c>
      <c r="D33" s="92" t="n">
        <v>61200</v>
      </c>
      <c r="E33" s="56" t="s">
        <v>314</v>
      </c>
      <c r="F33" s="55" t="s">
        <v>306</v>
      </c>
    </row>
    <row r="34" customFormat="false" ht="15" hidden="false" customHeight="false" outlineLevel="0" collapsed="false">
      <c r="A34" s="57" t="s">
        <v>143</v>
      </c>
      <c r="B34" s="57" t="n">
        <v>7</v>
      </c>
      <c r="C34" s="57" t="n">
        <v>29</v>
      </c>
      <c r="D34" s="91" t="n">
        <v>26100</v>
      </c>
      <c r="E34" s="61" t="s">
        <v>315</v>
      </c>
      <c r="F34" s="57" t="s">
        <v>316</v>
      </c>
    </row>
    <row r="35" customFormat="false" ht="15" hidden="false" customHeight="false" outlineLevel="0" collapsed="false">
      <c r="A35" s="55" t="s">
        <v>144</v>
      </c>
      <c r="B35" s="55" t="n">
        <v>7</v>
      </c>
      <c r="C35" s="55" t="n">
        <v>44</v>
      </c>
      <c r="D35" s="92" t="n">
        <v>39600</v>
      </c>
      <c r="E35" s="56" t="s">
        <v>308</v>
      </c>
      <c r="F35" s="55" t="s">
        <v>306</v>
      </c>
    </row>
    <row r="36" customFormat="false" ht="15" hidden="false" customHeight="false" outlineLevel="0" collapsed="false">
      <c r="A36" s="57" t="s">
        <v>145</v>
      </c>
      <c r="B36" s="57" t="n">
        <v>7</v>
      </c>
      <c r="C36" s="57" t="n">
        <v>38</v>
      </c>
      <c r="D36" s="91" t="n">
        <v>34200</v>
      </c>
      <c r="E36" s="61" t="s">
        <v>317</v>
      </c>
      <c r="F36" s="57" t="s">
        <v>303</v>
      </c>
    </row>
    <row r="37" customFormat="false" ht="15" hidden="false" customHeight="false" outlineLevel="0" collapsed="false">
      <c r="A37" s="55" t="s">
        <v>146</v>
      </c>
      <c r="B37" s="55" t="n">
        <v>7</v>
      </c>
      <c r="C37" s="55" t="n">
        <v>62</v>
      </c>
      <c r="D37" s="92" t="n">
        <v>55800</v>
      </c>
      <c r="E37" s="56" t="s">
        <v>318</v>
      </c>
      <c r="F37" s="55" t="s">
        <v>306</v>
      </c>
    </row>
    <row r="38" customFormat="false" ht="15" hidden="false" customHeight="false" outlineLevel="0" collapsed="false">
      <c r="A38" s="57" t="s">
        <v>147</v>
      </c>
      <c r="B38" s="57" t="n">
        <v>9</v>
      </c>
      <c r="C38" s="57" t="n">
        <v>34</v>
      </c>
      <c r="D38" s="91" t="n">
        <v>30600</v>
      </c>
      <c r="E38" s="61" t="s">
        <v>301</v>
      </c>
      <c r="F38" s="57" t="s">
        <v>319</v>
      </c>
    </row>
    <row r="39" customFormat="false" ht="15" hidden="false" customHeight="false" outlineLevel="0" collapsed="false">
      <c r="A39" s="55" t="s">
        <v>149</v>
      </c>
      <c r="B39" s="55" t="n">
        <v>7</v>
      </c>
      <c r="C39" s="55" t="n">
        <v>9</v>
      </c>
      <c r="D39" s="92" t="n">
        <v>8100</v>
      </c>
      <c r="E39" s="59" t="s">
        <v>320</v>
      </c>
      <c r="F39" s="55" t="s">
        <v>321</v>
      </c>
    </row>
    <row r="40" customFormat="false" ht="15" hidden="false" customHeight="false" outlineLevel="0" collapsed="false">
      <c r="A40" s="57" t="s">
        <v>151</v>
      </c>
      <c r="B40" s="57" t="n">
        <v>7</v>
      </c>
      <c r="C40" s="57" t="n">
        <v>25</v>
      </c>
      <c r="D40" s="91" t="n">
        <v>22500</v>
      </c>
      <c r="E40" s="61" t="s">
        <v>322</v>
      </c>
      <c r="F40" s="57" t="s">
        <v>323</v>
      </c>
    </row>
    <row r="41" customFormat="false" ht="15" hidden="false" customHeight="false" outlineLevel="0" collapsed="false">
      <c r="A41" s="55" t="s">
        <v>152</v>
      </c>
      <c r="B41" s="55" t="n">
        <v>6</v>
      </c>
      <c r="C41" s="55" t="n">
        <v>35</v>
      </c>
      <c r="D41" s="92" t="n">
        <v>31500</v>
      </c>
      <c r="E41" s="60" t="s">
        <v>298</v>
      </c>
      <c r="F41" s="55" t="s">
        <v>324</v>
      </c>
    </row>
    <row r="45" customFormat="false" ht="21.75" hidden="false" customHeight="true" outlineLevel="0" collapsed="false">
      <c r="A45" s="7" t="s">
        <v>325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7" customFormat="false" ht="19.5" hidden="false" customHeight="true" outlineLevel="0" collapsed="false">
      <c r="A47" s="46" t="s">
        <v>183</v>
      </c>
      <c r="B47" s="46" t="s">
        <v>88</v>
      </c>
      <c r="C47" s="46" t="s">
        <v>272</v>
      </c>
      <c r="D47" s="46" t="s">
        <v>326</v>
      </c>
      <c r="E47" s="46" t="s">
        <v>327</v>
      </c>
      <c r="F47" s="46" t="s">
        <v>328</v>
      </c>
      <c r="G47" s="46" t="s">
        <v>329</v>
      </c>
    </row>
    <row r="48" customFormat="false" ht="15" hidden="false" customHeight="false" outlineLevel="0" collapsed="false">
      <c r="A48" s="104" t="s">
        <v>119</v>
      </c>
      <c r="B48" s="57" t="s">
        <v>100</v>
      </c>
      <c r="C48" s="57" t="n">
        <v>272</v>
      </c>
      <c r="D48" s="57" t="n">
        <v>20</v>
      </c>
      <c r="E48" s="57" t="n">
        <v>11.3</v>
      </c>
      <c r="F48" s="57" t="n">
        <v>28</v>
      </c>
      <c r="G48" s="91" t="n">
        <v>244800</v>
      </c>
    </row>
    <row r="49" customFormat="false" ht="15" hidden="false" customHeight="false" outlineLevel="0" collapsed="false">
      <c r="A49" s="105" t="s">
        <v>128</v>
      </c>
      <c r="B49" s="55" t="s">
        <v>100</v>
      </c>
      <c r="C49" s="55" t="n">
        <v>205</v>
      </c>
      <c r="D49" s="55" t="n">
        <v>17</v>
      </c>
      <c r="E49" s="55" t="n">
        <v>11.4</v>
      </c>
      <c r="F49" s="55" t="n">
        <v>15</v>
      </c>
      <c r="G49" s="92" t="n">
        <v>184500</v>
      </c>
    </row>
    <row r="50" customFormat="false" ht="15" hidden="false" customHeight="false" outlineLevel="0" collapsed="false">
      <c r="A50" s="104" t="s">
        <v>102</v>
      </c>
      <c r="B50" s="57" t="s">
        <v>97</v>
      </c>
      <c r="C50" s="57" t="n">
        <v>163</v>
      </c>
      <c r="D50" s="57" t="n">
        <v>32</v>
      </c>
      <c r="E50" s="57" t="n">
        <v>4.9</v>
      </c>
      <c r="F50" s="57" t="n">
        <v>9</v>
      </c>
      <c r="G50" s="91" t="n">
        <v>146700</v>
      </c>
    </row>
    <row r="51" customFormat="false" ht="15" hidden="false" customHeight="false" outlineLevel="0" collapsed="false">
      <c r="A51" s="105" t="s">
        <v>108</v>
      </c>
      <c r="B51" s="55" t="s">
        <v>97</v>
      </c>
      <c r="C51" s="55" t="n">
        <v>147</v>
      </c>
      <c r="D51" s="55" t="n">
        <v>26</v>
      </c>
      <c r="E51" s="55" t="n">
        <v>4.9</v>
      </c>
      <c r="F51" s="55" t="n">
        <v>12</v>
      </c>
      <c r="G51" s="92" t="n">
        <v>132300</v>
      </c>
    </row>
    <row r="52" customFormat="false" ht="15" hidden="false" customHeight="false" outlineLevel="0" collapsed="false">
      <c r="A52" s="104" t="s">
        <v>107</v>
      </c>
      <c r="B52" s="57" t="s">
        <v>97</v>
      </c>
      <c r="C52" s="57" t="n">
        <v>109</v>
      </c>
      <c r="D52" s="57" t="n">
        <v>28</v>
      </c>
      <c r="E52" s="57" t="n">
        <v>3.3</v>
      </c>
      <c r="F52" s="57" t="n">
        <v>8</v>
      </c>
      <c r="G52" s="91" t="n">
        <v>98100</v>
      </c>
    </row>
    <row r="53" customFormat="false" ht="15" hidden="false" customHeight="false" outlineLevel="0" collapsed="false">
      <c r="A53" s="105" t="s">
        <v>103</v>
      </c>
      <c r="B53" s="55" t="s">
        <v>97</v>
      </c>
      <c r="C53" s="55" t="n">
        <v>82</v>
      </c>
      <c r="D53" s="55" t="n">
        <v>13</v>
      </c>
      <c r="E53" s="55" t="n">
        <v>5.9</v>
      </c>
      <c r="F53" s="55" t="n">
        <v>12</v>
      </c>
      <c r="G53" s="92" t="n">
        <v>73800</v>
      </c>
    </row>
    <row r="54" customFormat="false" ht="15" hidden="false" customHeight="false" outlineLevel="0" collapsed="false">
      <c r="A54" s="104" t="s">
        <v>101</v>
      </c>
      <c r="B54" s="57" t="s">
        <v>100</v>
      </c>
      <c r="C54" s="57" t="n">
        <v>76</v>
      </c>
      <c r="D54" s="57" t="n">
        <v>7</v>
      </c>
      <c r="E54" s="57" t="n">
        <v>5.1</v>
      </c>
      <c r="F54" s="57" t="n">
        <v>17</v>
      </c>
      <c r="G54" s="91" t="n">
        <v>68400</v>
      </c>
    </row>
    <row r="55" customFormat="false" ht="15" hidden="false" customHeight="false" outlineLevel="0" collapsed="false">
      <c r="A55" s="105" t="s">
        <v>98</v>
      </c>
      <c r="B55" s="55" t="s">
        <v>97</v>
      </c>
      <c r="C55" s="55" t="n">
        <v>72</v>
      </c>
      <c r="D55" s="55" t="n">
        <v>18</v>
      </c>
      <c r="E55" s="55" t="n">
        <v>3.1</v>
      </c>
      <c r="F55" s="55" t="n">
        <v>6</v>
      </c>
      <c r="G55" s="92" t="n">
        <v>64800</v>
      </c>
    </row>
    <row r="56" customFormat="false" ht="15" hidden="false" customHeight="false" outlineLevel="0" collapsed="false">
      <c r="A56" s="104" t="s">
        <v>141</v>
      </c>
      <c r="B56" s="57" t="s">
        <v>97</v>
      </c>
      <c r="C56" s="57" t="n">
        <v>45</v>
      </c>
      <c r="D56" s="57" t="n">
        <v>9</v>
      </c>
      <c r="E56" s="57" t="n">
        <v>4.5</v>
      </c>
      <c r="F56" s="57" t="n">
        <v>9</v>
      </c>
      <c r="G56" s="91" t="n">
        <v>40500</v>
      </c>
    </row>
    <row r="57" customFormat="false" ht="15" hidden="false" customHeight="false" outlineLevel="0" collapsed="false">
      <c r="A57" s="105" t="s">
        <v>126</v>
      </c>
      <c r="B57" s="55" t="s">
        <v>97</v>
      </c>
      <c r="C57" s="55" t="n">
        <v>42</v>
      </c>
      <c r="D57" s="55" t="n">
        <v>8</v>
      </c>
      <c r="E57" s="55" t="n">
        <v>4.7</v>
      </c>
      <c r="F57" s="55" t="n">
        <v>8</v>
      </c>
      <c r="G57" s="92" t="n">
        <v>37800</v>
      </c>
    </row>
    <row r="58" customFormat="false" ht="15" hidden="false" customHeight="false" outlineLevel="0" collapsed="false">
      <c r="A58" s="104" t="s">
        <v>139</v>
      </c>
      <c r="B58" s="57" t="s">
        <v>97</v>
      </c>
      <c r="C58" s="57" t="n">
        <v>42</v>
      </c>
      <c r="D58" s="57" t="n">
        <v>10</v>
      </c>
      <c r="E58" s="57" t="n">
        <v>3.8</v>
      </c>
      <c r="F58" s="57" t="n">
        <v>10</v>
      </c>
      <c r="G58" s="91" t="n">
        <v>37800</v>
      </c>
    </row>
    <row r="59" customFormat="false" ht="15" hidden="false" customHeight="false" outlineLevel="0" collapsed="false">
      <c r="A59" s="105" t="s">
        <v>106</v>
      </c>
      <c r="B59" s="55" t="s">
        <v>100</v>
      </c>
      <c r="C59" s="55" t="n">
        <v>40</v>
      </c>
      <c r="D59" s="55" t="n">
        <v>5</v>
      </c>
      <c r="E59" s="55" t="n">
        <v>5</v>
      </c>
      <c r="F59" s="55" t="n">
        <v>20</v>
      </c>
      <c r="G59" s="92" t="n">
        <v>36000</v>
      </c>
    </row>
    <row r="60" customFormat="false" ht="15" hidden="false" customHeight="false" outlineLevel="0" collapsed="false">
      <c r="A60" s="104" t="s">
        <v>136</v>
      </c>
      <c r="B60" s="57" t="s">
        <v>97</v>
      </c>
      <c r="C60" s="57" t="n">
        <v>29</v>
      </c>
      <c r="D60" s="57" t="n">
        <v>10</v>
      </c>
      <c r="E60" s="57" t="n">
        <v>2.2</v>
      </c>
      <c r="F60" s="57" t="n">
        <v>5</v>
      </c>
      <c r="G60" s="91" t="n">
        <v>26100</v>
      </c>
    </row>
    <row r="61" customFormat="false" ht="15" hidden="false" customHeight="false" outlineLevel="0" collapsed="false">
      <c r="A61" s="105" t="s">
        <v>99</v>
      </c>
      <c r="B61" s="55" t="s">
        <v>97</v>
      </c>
      <c r="C61" s="55" t="n">
        <v>6</v>
      </c>
      <c r="D61" s="55" t="n">
        <v>2</v>
      </c>
      <c r="E61" s="55" t="n">
        <v>0.6</v>
      </c>
      <c r="F61" s="55" t="n">
        <v>4</v>
      </c>
      <c r="G61" s="92" t="n">
        <v>5400</v>
      </c>
    </row>
    <row r="62" customFormat="false" ht="15" hidden="false" customHeight="false" outlineLevel="0" collapsed="false">
      <c r="A62" s="104" t="s">
        <v>148</v>
      </c>
      <c r="B62" s="57" t="s">
        <v>100</v>
      </c>
      <c r="C62" s="57" t="n">
        <v>6</v>
      </c>
      <c r="D62" s="57" t="n">
        <v>2</v>
      </c>
      <c r="E62" s="57" t="n">
        <v>3</v>
      </c>
      <c r="F62" s="57" t="n">
        <v>4</v>
      </c>
      <c r="G62" s="91" t="n">
        <v>5400</v>
      </c>
    </row>
    <row r="63" customFormat="false" ht="15" hidden="false" customHeight="false" outlineLevel="0" collapsed="false">
      <c r="A63" s="105" t="s">
        <v>150</v>
      </c>
      <c r="B63" s="55" t="s">
        <v>100</v>
      </c>
      <c r="C63" s="55" t="n">
        <v>1</v>
      </c>
      <c r="D63" s="55" t="n">
        <v>1</v>
      </c>
      <c r="E63" s="55" t="n">
        <v>1</v>
      </c>
      <c r="F63" s="55" t="n">
        <v>1</v>
      </c>
      <c r="G63" s="92" t="n">
        <v>900</v>
      </c>
    </row>
    <row r="64" customFormat="false" ht="15" hidden="false" customHeight="false" outlineLevel="0" collapsed="false">
      <c r="A64" s="104" t="s">
        <v>105</v>
      </c>
      <c r="B64" s="57" t="s">
        <v>104</v>
      </c>
      <c r="C64" s="57" t="n">
        <v>0</v>
      </c>
      <c r="D64" s="57" t="n">
        <v>0</v>
      </c>
      <c r="E64" s="57" t="n">
        <v>0</v>
      </c>
      <c r="F64" s="57" t="n">
        <v>0</v>
      </c>
      <c r="G64" s="91" t="n">
        <v>0</v>
      </c>
    </row>
    <row r="65" customFormat="false" ht="15" hidden="false" customHeight="false" outlineLevel="0" collapsed="false">
      <c r="A65" s="105" t="s">
        <v>116</v>
      </c>
      <c r="B65" s="55" t="s">
        <v>100</v>
      </c>
      <c r="C65" s="55" t="n">
        <v>0</v>
      </c>
      <c r="D65" s="55" t="n">
        <v>0</v>
      </c>
      <c r="E65" s="55" t="n">
        <v>0</v>
      </c>
      <c r="F65" s="55" t="n">
        <v>0</v>
      </c>
      <c r="G65" s="92" t="n">
        <v>0</v>
      </c>
    </row>
    <row r="66" customFormat="false" ht="15" hidden="false" customHeight="false" outlineLevel="0" collapsed="false">
      <c r="A66" s="104" t="s">
        <v>121</v>
      </c>
      <c r="B66" s="57" t="s">
        <v>97</v>
      </c>
      <c r="C66" s="57" t="n">
        <v>0</v>
      </c>
      <c r="D66" s="57" t="n">
        <v>0</v>
      </c>
      <c r="E66" s="57" t="n">
        <v>0</v>
      </c>
      <c r="F66" s="57" t="n">
        <v>0</v>
      </c>
      <c r="G66" s="91" t="n">
        <v>0</v>
      </c>
    </row>
    <row r="67" customFormat="false" ht="15" hidden="false" customHeight="false" outlineLevel="0" collapsed="false">
      <c r="A67" s="105" t="s">
        <v>134</v>
      </c>
      <c r="B67" s="55" t="s">
        <v>97</v>
      </c>
      <c r="C67" s="55" t="n">
        <v>0</v>
      </c>
      <c r="D67" s="55" t="n">
        <v>0</v>
      </c>
      <c r="E67" s="55" t="n">
        <v>0</v>
      </c>
      <c r="F67" s="55" t="n">
        <v>0</v>
      </c>
      <c r="G67" s="92" t="n">
        <v>0</v>
      </c>
    </row>
    <row r="68" customFormat="false" ht="15" hidden="false" customHeight="false" outlineLevel="0" collapsed="false">
      <c r="A68" s="104" t="s">
        <v>125</v>
      </c>
      <c r="B68" s="57" t="s">
        <v>97</v>
      </c>
      <c r="C68" s="57" t="n">
        <v>0</v>
      </c>
      <c r="D68" s="57" t="n">
        <v>0</v>
      </c>
      <c r="E68" s="57" t="n">
        <v>0</v>
      </c>
      <c r="F68" s="57" t="n">
        <v>0</v>
      </c>
      <c r="G68" s="91" t="n">
        <v>0</v>
      </c>
    </row>
    <row r="69" customFormat="false" ht="15" hidden="false" customHeight="false" outlineLevel="0" collapsed="false">
      <c r="A69" s="105" t="s">
        <v>153</v>
      </c>
      <c r="B69" s="55" t="s">
        <v>100</v>
      </c>
      <c r="C69" s="55" t="n">
        <v>0</v>
      </c>
      <c r="D69" s="55" t="n">
        <v>0</v>
      </c>
      <c r="E69" s="55" t="n">
        <v>0</v>
      </c>
      <c r="F69" s="55" t="n">
        <v>0</v>
      </c>
      <c r="G69" s="92" t="n">
        <v>0</v>
      </c>
    </row>
  </sheetData>
  <mergeCells count="4">
    <mergeCell ref="B2:R2"/>
    <mergeCell ref="B3:R3"/>
    <mergeCell ref="A6:L6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9" min="4" style="0" width="14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44" t="s">
        <v>330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"/>
    </row>
    <row r="3" customFormat="false" ht="19.5" hidden="false" customHeight="true" outlineLevel="0" collapsed="false">
      <c r="A3" s="1"/>
      <c r="B3" s="45" t="s">
        <v>331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18" hidden="false" customHeight="true" outlineLevel="0" collapsed="false">
      <c r="A6" s="106" t="s">
        <v>332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8" customFormat="false" ht="21.75" hidden="false" customHeight="true" outlineLevel="0" collapsed="false">
      <c r="A8" s="8" t="s">
        <v>86</v>
      </c>
      <c r="B8" s="8" t="s">
        <v>156</v>
      </c>
      <c r="C8" s="8" t="s">
        <v>333</v>
      </c>
      <c r="D8" s="8" t="s">
        <v>334</v>
      </c>
      <c r="E8" s="8" t="s">
        <v>335</v>
      </c>
      <c r="F8" s="8" t="s">
        <v>336</v>
      </c>
      <c r="G8" s="8" t="s">
        <v>337</v>
      </c>
      <c r="H8" s="8" t="s">
        <v>338</v>
      </c>
      <c r="I8" s="8" t="s">
        <v>339</v>
      </c>
      <c r="J8" s="8" t="s">
        <v>340</v>
      </c>
      <c r="K8" s="8" t="s">
        <v>341</v>
      </c>
    </row>
    <row r="9" customFormat="false" ht="15" hidden="false" customHeight="false" outlineLevel="0" collapsed="false">
      <c r="A9" s="50" t="s">
        <v>96</v>
      </c>
      <c r="B9" s="50" t="n">
        <v>9</v>
      </c>
      <c r="C9" s="107" t="n">
        <v>0</v>
      </c>
      <c r="D9" s="107" t="n">
        <v>0</v>
      </c>
      <c r="E9" s="107" t="n">
        <v>0</v>
      </c>
      <c r="F9" s="107" t="n">
        <v>0</v>
      </c>
      <c r="G9" s="107" t="n">
        <v>0</v>
      </c>
      <c r="H9" s="107" t="n">
        <v>0</v>
      </c>
      <c r="I9" s="107" t="n">
        <v>0</v>
      </c>
      <c r="J9" s="107" t="n">
        <v>0</v>
      </c>
      <c r="K9" s="108" t="s">
        <v>342</v>
      </c>
    </row>
    <row r="10" customFormat="false" ht="15" hidden="false" customHeight="false" outlineLevel="0" collapsed="false">
      <c r="A10" s="109" t="s">
        <v>109</v>
      </c>
      <c r="B10" s="109" t="n">
        <v>9</v>
      </c>
      <c r="C10" s="110" t="n">
        <v>0</v>
      </c>
      <c r="D10" s="110" t="n">
        <v>0</v>
      </c>
      <c r="E10" s="110" t="n">
        <v>0</v>
      </c>
      <c r="F10" s="110" t="n">
        <v>0</v>
      </c>
      <c r="G10" s="110" t="n">
        <v>0</v>
      </c>
      <c r="H10" s="110" t="n">
        <v>0</v>
      </c>
      <c r="I10" s="110" t="n">
        <v>0</v>
      </c>
      <c r="J10" s="110" t="n">
        <v>0</v>
      </c>
      <c r="K10" s="111" t="s">
        <v>342</v>
      </c>
    </row>
    <row r="11" customFormat="false" ht="15" hidden="false" customHeight="false" outlineLevel="0" collapsed="false">
      <c r="A11" s="50" t="s">
        <v>110</v>
      </c>
      <c r="B11" s="50" t="n">
        <v>9</v>
      </c>
      <c r="C11" s="107" t="n">
        <v>0</v>
      </c>
      <c r="D11" s="107" t="n">
        <v>0</v>
      </c>
      <c r="E11" s="107" t="n">
        <v>0</v>
      </c>
      <c r="F11" s="107" t="n">
        <v>0</v>
      </c>
      <c r="G11" s="107" t="n">
        <v>0</v>
      </c>
      <c r="H11" s="107" t="n">
        <v>0</v>
      </c>
      <c r="I11" s="107" t="n">
        <v>0</v>
      </c>
      <c r="J11" s="107" t="n">
        <v>0</v>
      </c>
      <c r="K11" s="108" t="s">
        <v>342</v>
      </c>
    </row>
    <row r="12" customFormat="false" ht="15" hidden="false" customHeight="false" outlineLevel="0" collapsed="false">
      <c r="A12" s="109" t="s">
        <v>111</v>
      </c>
      <c r="B12" s="109" t="n">
        <v>9</v>
      </c>
      <c r="C12" s="110" t="n">
        <v>0</v>
      </c>
      <c r="D12" s="110" t="n">
        <v>0</v>
      </c>
      <c r="E12" s="110" t="n">
        <v>0</v>
      </c>
      <c r="F12" s="110" t="n">
        <v>0</v>
      </c>
      <c r="G12" s="110" t="n">
        <v>0</v>
      </c>
      <c r="H12" s="110" t="n">
        <v>0</v>
      </c>
      <c r="I12" s="110" t="n">
        <v>0</v>
      </c>
      <c r="J12" s="110" t="n">
        <v>0</v>
      </c>
      <c r="K12" s="111" t="s">
        <v>342</v>
      </c>
    </row>
    <row r="13" customFormat="false" ht="15" hidden="false" customHeight="false" outlineLevel="0" collapsed="false">
      <c r="A13" s="50" t="s">
        <v>112</v>
      </c>
      <c r="B13" s="50" t="n">
        <v>9</v>
      </c>
      <c r="C13" s="107" t="n">
        <v>0</v>
      </c>
      <c r="D13" s="107" t="n">
        <v>0</v>
      </c>
      <c r="E13" s="107" t="n">
        <v>0</v>
      </c>
      <c r="F13" s="107" t="n">
        <v>0</v>
      </c>
      <c r="G13" s="107" t="n">
        <v>0</v>
      </c>
      <c r="H13" s="107" t="n">
        <v>0</v>
      </c>
      <c r="I13" s="107" t="n">
        <v>0</v>
      </c>
      <c r="J13" s="107" t="n">
        <v>0</v>
      </c>
      <c r="K13" s="108" t="s">
        <v>342</v>
      </c>
    </row>
    <row r="14" customFormat="false" ht="15" hidden="false" customHeight="false" outlineLevel="0" collapsed="false">
      <c r="A14" s="109" t="s">
        <v>113</v>
      </c>
      <c r="B14" s="109" t="n">
        <v>9</v>
      </c>
      <c r="C14" s="110" t="n">
        <v>0</v>
      </c>
      <c r="D14" s="110" t="n">
        <v>0</v>
      </c>
      <c r="E14" s="110" t="n">
        <v>0</v>
      </c>
      <c r="F14" s="110" t="n">
        <v>0</v>
      </c>
      <c r="G14" s="110" t="n">
        <v>0</v>
      </c>
      <c r="H14" s="110" t="n">
        <v>0</v>
      </c>
      <c r="I14" s="110" t="n">
        <v>0</v>
      </c>
      <c r="J14" s="110" t="n">
        <v>0</v>
      </c>
      <c r="K14" s="111" t="s">
        <v>342</v>
      </c>
    </row>
    <row r="15" customFormat="false" ht="15" hidden="false" customHeight="false" outlineLevel="0" collapsed="false">
      <c r="A15" s="50" t="s">
        <v>114</v>
      </c>
      <c r="B15" s="50" t="n">
        <v>9</v>
      </c>
      <c r="C15" s="107" t="n">
        <v>0</v>
      </c>
      <c r="D15" s="107" t="n">
        <v>0</v>
      </c>
      <c r="E15" s="107" t="n">
        <v>0</v>
      </c>
      <c r="F15" s="107" t="n">
        <v>0</v>
      </c>
      <c r="G15" s="107" t="n">
        <v>0</v>
      </c>
      <c r="H15" s="107" t="n">
        <v>0</v>
      </c>
      <c r="I15" s="107" t="n">
        <v>0</v>
      </c>
      <c r="J15" s="107" t="n">
        <v>0</v>
      </c>
      <c r="K15" s="108" t="s">
        <v>342</v>
      </c>
    </row>
    <row r="16" customFormat="false" ht="15" hidden="false" customHeight="false" outlineLevel="0" collapsed="false">
      <c r="A16" s="109" t="s">
        <v>115</v>
      </c>
      <c r="B16" s="109" t="n">
        <v>10</v>
      </c>
      <c r="C16" s="110" t="n">
        <v>0</v>
      </c>
      <c r="D16" s="110" t="n">
        <v>0</v>
      </c>
      <c r="E16" s="110" t="n">
        <v>0</v>
      </c>
      <c r="F16" s="110" t="n">
        <v>0</v>
      </c>
      <c r="G16" s="110" t="n">
        <v>0</v>
      </c>
      <c r="H16" s="110" t="n">
        <v>0</v>
      </c>
      <c r="I16" s="110" t="n">
        <v>0</v>
      </c>
      <c r="J16" s="110" t="n">
        <v>0</v>
      </c>
      <c r="K16" s="111" t="s">
        <v>342</v>
      </c>
    </row>
    <row r="17" customFormat="false" ht="15" hidden="false" customHeight="false" outlineLevel="0" collapsed="false">
      <c r="A17" s="50" t="s">
        <v>117</v>
      </c>
      <c r="B17" s="50" t="n">
        <v>9</v>
      </c>
      <c r="C17" s="107" t="n">
        <v>0</v>
      </c>
      <c r="D17" s="107" t="n">
        <v>0</v>
      </c>
      <c r="E17" s="107" t="n">
        <v>0</v>
      </c>
      <c r="F17" s="107" t="n">
        <v>0</v>
      </c>
      <c r="G17" s="107" t="n">
        <v>0</v>
      </c>
      <c r="H17" s="107" t="n">
        <v>0</v>
      </c>
      <c r="I17" s="107" t="n">
        <v>0</v>
      </c>
      <c r="J17" s="107" t="n">
        <v>0</v>
      </c>
      <c r="K17" s="108" t="s">
        <v>342</v>
      </c>
    </row>
    <row r="18" customFormat="false" ht="15" hidden="false" customHeight="false" outlineLevel="0" collapsed="false">
      <c r="A18" s="109" t="s">
        <v>118</v>
      </c>
      <c r="B18" s="109" t="n">
        <v>10</v>
      </c>
      <c r="C18" s="110" t="n">
        <v>0</v>
      </c>
      <c r="D18" s="110" t="n">
        <v>0</v>
      </c>
      <c r="E18" s="110" t="n">
        <v>0</v>
      </c>
      <c r="F18" s="110" t="n">
        <v>0</v>
      </c>
      <c r="G18" s="110" t="n">
        <v>0</v>
      </c>
      <c r="H18" s="110" t="n">
        <v>0</v>
      </c>
      <c r="I18" s="110" t="n">
        <v>0</v>
      </c>
      <c r="J18" s="110" t="n">
        <v>0</v>
      </c>
      <c r="K18" s="111" t="s">
        <v>342</v>
      </c>
    </row>
    <row r="19" customFormat="false" ht="15" hidden="false" customHeight="false" outlineLevel="0" collapsed="false">
      <c r="A19" s="50" t="s">
        <v>120</v>
      </c>
      <c r="B19" s="50" t="n">
        <v>9</v>
      </c>
      <c r="C19" s="107" t="n">
        <v>0</v>
      </c>
      <c r="D19" s="107" t="n">
        <v>0</v>
      </c>
      <c r="E19" s="107" t="n">
        <v>0</v>
      </c>
      <c r="F19" s="107" t="n">
        <v>0</v>
      </c>
      <c r="G19" s="107" t="n">
        <v>0</v>
      </c>
      <c r="H19" s="107" t="n">
        <v>0</v>
      </c>
      <c r="I19" s="107" t="n">
        <v>0</v>
      </c>
      <c r="J19" s="107" t="n">
        <v>0</v>
      </c>
      <c r="K19" s="108" t="s">
        <v>342</v>
      </c>
    </row>
    <row r="20" customFormat="false" ht="15" hidden="false" customHeight="false" outlineLevel="0" collapsed="false">
      <c r="A20" s="109" t="s">
        <v>122</v>
      </c>
      <c r="B20" s="109" t="n">
        <v>9</v>
      </c>
      <c r="C20" s="110" t="n">
        <v>0</v>
      </c>
      <c r="D20" s="110" t="n">
        <v>0</v>
      </c>
      <c r="E20" s="110" t="n">
        <v>0</v>
      </c>
      <c r="F20" s="110" t="n">
        <v>0</v>
      </c>
      <c r="G20" s="110" t="n">
        <v>0</v>
      </c>
      <c r="H20" s="110" t="n">
        <v>0</v>
      </c>
      <c r="I20" s="110" t="n">
        <v>0</v>
      </c>
      <c r="J20" s="110" t="n">
        <v>0</v>
      </c>
      <c r="K20" s="111" t="s">
        <v>342</v>
      </c>
    </row>
    <row r="21" customFormat="false" ht="15" hidden="false" customHeight="false" outlineLevel="0" collapsed="false">
      <c r="A21" s="50" t="s">
        <v>123</v>
      </c>
      <c r="B21" s="50" t="n">
        <v>9</v>
      </c>
      <c r="C21" s="107" t="n">
        <v>136150</v>
      </c>
      <c r="D21" s="107" t="n">
        <v>16338</v>
      </c>
      <c r="E21" s="107" t="n">
        <v>17904</v>
      </c>
      <c r="F21" s="107" t="n">
        <v>34242</v>
      </c>
      <c r="G21" s="107" t="n">
        <v>1021</v>
      </c>
      <c r="H21" s="107" t="n">
        <v>4425</v>
      </c>
      <c r="I21" s="107" t="n">
        <v>5446</v>
      </c>
      <c r="J21" s="107" t="n">
        <v>39688</v>
      </c>
      <c r="K21" s="108" t="s">
        <v>342</v>
      </c>
    </row>
    <row r="22" customFormat="false" ht="15" hidden="false" customHeight="false" outlineLevel="0" collapsed="false">
      <c r="A22" s="109" t="s">
        <v>124</v>
      </c>
      <c r="B22" s="109" t="n">
        <v>10</v>
      </c>
      <c r="C22" s="110" t="n">
        <v>113800</v>
      </c>
      <c r="D22" s="110" t="n">
        <v>13656</v>
      </c>
      <c r="E22" s="110" t="n">
        <v>14965</v>
      </c>
      <c r="F22" s="110" t="n">
        <v>28621</v>
      </c>
      <c r="G22" s="110" t="n">
        <v>854</v>
      </c>
      <c r="H22" s="110" t="n">
        <v>3698</v>
      </c>
      <c r="I22" s="110" t="n">
        <v>4552</v>
      </c>
      <c r="J22" s="110" t="n">
        <v>33173</v>
      </c>
      <c r="K22" s="111" t="s">
        <v>342</v>
      </c>
    </row>
    <row r="23" customFormat="false" ht="15" hidden="false" customHeight="false" outlineLevel="0" collapsed="false">
      <c r="A23" s="50" t="s">
        <v>127</v>
      </c>
      <c r="B23" s="50" t="n">
        <v>10</v>
      </c>
      <c r="C23" s="107" t="n">
        <v>132750</v>
      </c>
      <c r="D23" s="107" t="n">
        <v>15930</v>
      </c>
      <c r="E23" s="107" t="n">
        <v>17457</v>
      </c>
      <c r="F23" s="107" t="n">
        <v>33387</v>
      </c>
      <c r="G23" s="107" t="n">
        <v>996</v>
      </c>
      <c r="H23" s="107" t="n">
        <v>4314</v>
      </c>
      <c r="I23" s="107" t="n">
        <v>5310</v>
      </c>
      <c r="J23" s="107" t="n">
        <v>38697</v>
      </c>
      <c r="K23" s="108" t="s">
        <v>342</v>
      </c>
    </row>
    <row r="24" customFormat="false" ht="15" hidden="false" customHeight="false" outlineLevel="0" collapsed="false">
      <c r="A24" s="109" t="s">
        <v>129</v>
      </c>
      <c r="B24" s="109" t="n">
        <v>8</v>
      </c>
      <c r="C24" s="110" t="n">
        <v>102800</v>
      </c>
      <c r="D24" s="110" t="n">
        <v>12336</v>
      </c>
      <c r="E24" s="110" t="n">
        <v>13518</v>
      </c>
      <c r="F24" s="110" t="n">
        <v>25854</v>
      </c>
      <c r="G24" s="110" t="n">
        <v>771</v>
      </c>
      <c r="H24" s="110" t="n">
        <v>3341</v>
      </c>
      <c r="I24" s="110" t="n">
        <v>4112</v>
      </c>
      <c r="J24" s="110" t="n">
        <v>29966</v>
      </c>
      <c r="K24" s="111" t="s">
        <v>342</v>
      </c>
    </row>
    <row r="25" customFormat="false" ht="15" hidden="false" customHeight="false" outlineLevel="0" collapsed="false">
      <c r="A25" s="50" t="s">
        <v>130</v>
      </c>
      <c r="B25" s="50" t="n">
        <v>8</v>
      </c>
      <c r="C25" s="107" t="n">
        <v>98250</v>
      </c>
      <c r="D25" s="107" t="n">
        <v>11790</v>
      </c>
      <c r="E25" s="107" t="n">
        <v>12920</v>
      </c>
      <c r="F25" s="107" t="n">
        <v>24710</v>
      </c>
      <c r="G25" s="107" t="n">
        <v>737</v>
      </c>
      <c r="H25" s="107" t="n">
        <v>3193</v>
      </c>
      <c r="I25" s="107" t="n">
        <v>3930</v>
      </c>
      <c r="J25" s="107" t="n">
        <v>28640</v>
      </c>
      <c r="K25" s="108" t="s">
        <v>342</v>
      </c>
    </row>
    <row r="26" customFormat="false" ht="15" hidden="false" customHeight="false" outlineLevel="0" collapsed="false">
      <c r="A26" s="109" t="s">
        <v>131</v>
      </c>
      <c r="B26" s="109" t="n">
        <v>8</v>
      </c>
      <c r="C26" s="110" t="n">
        <v>96850</v>
      </c>
      <c r="D26" s="110" t="n">
        <v>11622</v>
      </c>
      <c r="E26" s="110" t="n">
        <v>12736</v>
      </c>
      <c r="F26" s="110" t="n">
        <v>24358</v>
      </c>
      <c r="G26" s="110" t="n">
        <v>726</v>
      </c>
      <c r="H26" s="110" t="n">
        <v>3148</v>
      </c>
      <c r="I26" s="110" t="n">
        <v>3874</v>
      </c>
      <c r="J26" s="110" t="n">
        <v>28232</v>
      </c>
      <c r="K26" s="111" t="s">
        <v>342</v>
      </c>
    </row>
    <row r="27" customFormat="false" ht="15" hidden="false" customHeight="false" outlineLevel="0" collapsed="false">
      <c r="A27" s="50" t="s">
        <v>132</v>
      </c>
      <c r="B27" s="50" t="n">
        <v>9</v>
      </c>
      <c r="C27" s="107" t="n">
        <v>117100</v>
      </c>
      <c r="D27" s="107" t="n">
        <v>14052</v>
      </c>
      <c r="E27" s="107" t="n">
        <v>15399</v>
      </c>
      <c r="F27" s="107" t="n">
        <v>29451</v>
      </c>
      <c r="G27" s="107" t="n">
        <v>878</v>
      </c>
      <c r="H27" s="107" t="n">
        <v>3806</v>
      </c>
      <c r="I27" s="107" t="n">
        <v>4684</v>
      </c>
      <c r="J27" s="107" t="n">
        <v>34135</v>
      </c>
      <c r="K27" s="108" t="s">
        <v>342</v>
      </c>
    </row>
    <row r="28" customFormat="false" ht="15" hidden="false" customHeight="false" outlineLevel="0" collapsed="false">
      <c r="A28" s="109" t="s">
        <v>133</v>
      </c>
      <c r="B28" s="109" t="n">
        <v>9</v>
      </c>
      <c r="C28" s="110" t="n">
        <v>127300</v>
      </c>
      <c r="D28" s="110" t="n">
        <v>15276</v>
      </c>
      <c r="E28" s="110" t="n">
        <v>16740</v>
      </c>
      <c r="F28" s="110" t="n">
        <v>32016</v>
      </c>
      <c r="G28" s="110" t="n">
        <v>955</v>
      </c>
      <c r="H28" s="110" t="n">
        <v>4137</v>
      </c>
      <c r="I28" s="110" t="n">
        <v>5092</v>
      </c>
      <c r="J28" s="110" t="n">
        <v>37108</v>
      </c>
      <c r="K28" s="111" t="s">
        <v>342</v>
      </c>
    </row>
    <row r="29" customFormat="false" ht="15" hidden="false" customHeight="false" outlineLevel="0" collapsed="false">
      <c r="A29" s="50" t="s">
        <v>135</v>
      </c>
      <c r="B29" s="50" t="n">
        <v>10</v>
      </c>
      <c r="C29" s="107" t="n">
        <v>119800</v>
      </c>
      <c r="D29" s="107" t="n">
        <v>14376</v>
      </c>
      <c r="E29" s="107" t="n">
        <v>15754</v>
      </c>
      <c r="F29" s="107" t="n">
        <v>30130</v>
      </c>
      <c r="G29" s="107" t="n">
        <v>898</v>
      </c>
      <c r="H29" s="107" t="n">
        <v>3894</v>
      </c>
      <c r="I29" s="107" t="n">
        <v>4792</v>
      </c>
      <c r="J29" s="107" t="n">
        <v>34922</v>
      </c>
      <c r="K29" s="108" t="s">
        <v>342</v>
      </c>
    </row>
    <row r="30" customFormat="false" ht="15" hidden="false" customHeight="false" outlineLevel="0" collapsed="false">
      <c r="A30" s="109" t="s">
        <v>137</v>
      </c>
      <c r="B30" s="109" t="n">
        <v>9</v>
      </c>
      <c r="C30" s="110" t="n">
        <v>106350</v>
      </c>
      <c r="D30" s="110" t="n">
        <v>12762</v>
      </c>
      <c r="E30" s="110" t="n">
        <v>13985</v>
      </c>
      <c r="F30" s="110" t="n">
        <v>26747</v>
      </c>
      <c r="G30" s="110" t="n">
        <v>798</v>
      </c>
      <c r="H30" s="110" t="n">
        <v>3456</v>
      </c>
      <c r="I30" s="110" t="n">
        <v>4254</v>
      </c>
      <c r="J30" s="110" t="n">
        <v>31001</v>
      </c>
      <c r="K30" s="111" t="s">
        <v>342</v>
      </c>
    </row>
    <row r="31" customFormat="false" ht="15" hidden="false" customHeight="false" outlineLevel="0" collapsed="false">
      <c r="A31" s="50" t="s">
        <v>138</v>
      </c>
      <c r="B31" s="50" t="n">
        <v>9</v>
      </c>
      <c r="C31" s="107" t="n">
        <v>115250</v>
      </c>
      <c r="D31" s="107" t="n">
        <v>13830</v>
      </c>
      <c r="E31" s="107" t="n">
        <v>15155</v>
      </c>
      <c r="F31" s="107" t="n">
        <v>28985</v>
      </c>
      <c r="G31" s="107" t="n">
        <v>864</v>
      </c>
      <c r="H31" s="107" t="n">
        <v>3746</v>
      </c>
      <c r="I31" s="107" t="n">
        <v>4610</v>
      </c>
      <c r="J31" s="107" t="n">
        <v>33595</v>
      </c>
      <c r="K31" s="108" t="s">
        <v>342</v>
      </c>
    </row>
    <row r="32" customFormat="false" ht="15" hidden="false" customHeight="false" outlineLevel="0" collapsed="false">
      <c r="A32" s="109" t="s">
        <v>140</v>
      </c>
      <c r="B32" s="109" t="n">
        <v>9</v>
      </c>
      <c r="C32" s="110" t="n">
        <v>108600</v>
      </c>
      <c r="D32" s="110" t="n">
        <v>13032</v>
      </c>
      <c r="E32" s="110" t="n">
        <v>14281</v>
      </c>
      <c r="F32" s="110" t="n">
        <v>27313</v>
      </c>
      <c r="G32" s="110" t="n">
        <v>814</v>
      </c>
      <c r="H32" s="110" t="n">
        <v>3530</v>
      </c>
      <c r="I32" s="110" t="n">
        <v>4344</v>
      </c>
      <c r="J32" s="110" t="n">
        <v>31657</v>
      </c>
      <c r="K32" s="111" t="s">
        <v>342</v>
      </c>
    </row>
    <row r="33" customFormat="false" ht="15" hidden="false" customHeight="false" outlineLevel="0" collapsed="false">
      <c r="A33" s="50" t="s">
        <v>142</v>
      </c>
      <c r="B33" s="50" t="n">
        <v>9</v>
      </c>
      <c r="C33" s="107" t="n">
        <v>125650</v>
      </c>
      <c r="D33" s="107" t="n">
        <v>15078</v>
      </c>
      <c r="E33" s="107" t="n">
        <v>16523</v>
      </c>
      <c r="F33" s="107" t="n">
        <v>31601</v>
      </c>
      <c r="G33" s="107" t="n">
        <v>942</v>
      </c>
      <c r="H33" s="107" t="n">
        <v>4084</v>
      </c>
      <c r="I33" s="107" t="n">
        <v>5026</v>
      </c>
      <c r="J33" s="107" t="n">
        <v>36627</v>
      </c>
      <c r="K33" s="108" t="s">
        <v>342</v>
      </c>
    </row>
    <row r="34" customFormat="false" ht="15" hidden="false" customHeight="false" outlineLevel="0" collapsed="false">
      <c r="A34" s="109" t="s">
        <v>143</v>
      </c>
      <c r="B34" s="109" t="n">
        <v>8</v>
      </c>
      <c r="C34" s="110" t="n">
        <v>114800</v>
      </c>
      <c r="D34" s="110" t="n">
        <v>13776</v>
      </c>
      <c r="E34" s="110" t="n">
        <v>15096</v>
      </c>
      <c r="F34" s="110" t="n">
        <v>28872</v>
      </c>
      <c r="G34" s="110" t="n">
        <v>861</v>
      </c>
      <c r="H34" s="110" t="n">
        <v>3731</v>
      </c>
      <c r="I34" s="110" t="n">
        <v>4592</v>
      </c>
      <c r="J34" s="110" t="n">
        <v>33464</v>
      </c>
      <c r="K34" s="111" t="s">
        <v>342</v>
      </c>
    </row>
    <row r="35" customFormat="false" ht="15" hidden="false" customHeight="false" outlineLevel="0" collapsed="false">
      <c r="A35" s="50" t="s">
        <v>144</v>
      </c>
      <c r="B35" s="50" t="n">
        <v>9</v>
      </c>
      <c r="C35" s="107" t="n">
        <v>126250</v>
      </c>
      <c r="D35" s="107" t="n">
        <v>15150</v>
      </c>
      <c r="E35" s="107" t="n">
        <v>16602</v>
      </c>
      <c r="F35" s="107" t="n">
        <v>31752</v>
      </c>
      <c r="G35" s="107" t="n">
        <v>947</v>
      </c>
      <c r="H35" s="107" t="n">
        <v>4103</v>
      </c>
      <c r="I35" s="107" t="n">
        <v>5050</v>
      </c>
      <c r="J35" s="107" t="n">
        <v>36802</v>
      </c>
      <c r="K35" s="108" t="s">
        <v>342</v>
      </c>
    </row>
    <row r="36" customFormat="false" ht="15" hidden="false" customHeight="false" outlineLevel="0" collapsed="false">
      <c r="A36" s="109" t="s">
        <v>145</v>
      </c>
      <c r="B36" s="109" t="n">
        <v>9</v>
      </c>
      <c r="C36" s="110" t="n">
        <v>131600</v>
      </c>
      <c r="D36" s="110" t="n">
        <v>15792</v>
      </c>
      <c r="E36" s="110" t="n">
        <v>17305</v>
      </c>
      <c r="F36" s="110" t="n">
        <v>33097</v>
      </c>
      <c r="G36" s="110" t="n">
        <v>987</v>
      </c>
      <c r="H36" s="110" t="n">
        <v>4277</v>
      </c>
      <c r="I36" s="110" t="n">
        <v>5264</v>
      </c>
      <c r="J36" s="110" t="n">
        <v>38361</v>
      </c>
      <c r="K36" s="111" t="s">
        <v>342</v>
      </c>
    </row>
    <row r="37" customFormat="false" ht="15" hidden="false" customHeight="false" outlineLevel="0" collapsed="false">
      <c r="A37" s="50" t="s">
        <v>146</v>
      </c>
      <c r="B37" s="50" t="n">
        <v>9</v>
      </c>
      <c r="C37" s="107" t="n">
        <v>112200</v>
      </c>
      <c r="D37" s="107" t="n">
        <v>13464</v>
      </c>
      <c r="E37" s="107" t="n">
        <v>14754</v>
      </c>
      <c r="F37" s="107" t="n">
        <v>28218</v>
      </c>
      <c r="G37" s="107" t="n">
        <v>842</v>
      </c>
      <c r="H37" s="107" t="n">
        <v>3646</v>
      </c>
      <c r="I37" s="107" t="n">
        <v>4488</v>
      </c>
      <c r="J37" s="107" t="n">
        <v>32706</v>
      </c>
      <c r="K37" s="108" t="s">
        <v>342</v>
      </c>
    </row>
    <row r="38" customFormat="false" ht="15" hidden="false" customHeight="false" outlineLevel="0" collapsed="false">
      <c r="A38" s="109" t="s">
        <v>147</v>
      </c>
      <c r="B38" s="109" t="n">
        <v>10</v>
      </c>
      <c r="C38" s="110" t="n">
        <v>151550</v>
      </c>
      <c r="D38" s="110" t="n">
        <v>18186</v>
      </c>
      <c r="E38" s="110" t="n">
        <v>19929</v>
      </c>
      <c r="F38" s="110" t="n">
        <v>38115</v>
      </c>
      <c r="G38" s="110" t="n">
        <v>1137</v>
      </c>
      <c r="H38" s="110" t="n">
        <v>4925</v>
      </c>
      <c r="I38" s="110" t="n">
        <v>6062</v>
      </c>
      <c r="J38" s="110" t="n">
        <v>44177</v>
      </c>
      <c r="K38" s="111" t="s">
        <v>342</v>
      </c>
    </row>
    <row r="39" customFormat="false" ht="15" hidden="false" customHeight="false" outlineLevel="0" collapsed="false">
      <c r="A39" s="50" t="s">
        <v>149</v>
      </c>
      <c r="B39" s="50" t="n">
        <v>10</v>
      </c>
      <c r="C39" s="107" t="n">
        <v>155600</v>
      </c>
      <c r="D39" s="107" t="n">
        <v>18672</v>
      </c>
      <c r="E39" s="107" t="n">
        <v>20461</v>
      </c>
      <c r="F39" s="107" t="n">
        <v>39133</v>
      </c>
      <c r="G39" s="107" t="n">
        <v>1167</v>
      </c>
      <c r="H39" s="107" t="n">
        <v>5057</v>
      </c>
      <c r="I39" s="107" t="n">
        <v>6224</v>
      </c>
      <c r="J39" s="107" t="n">
        <v>45357</v>
      </c>
      <c r="K39" s="108" t="s">
        <v>342</v>
      </c>
    </row>
    <row r="40" customFormat="false" ht="15" hidden="false" customHeight="false" outlineLevel="0" collapsed="false">
      <c r="A40" s="109" t="s">
        <v>151</v>
      </c>
      <c r="B40" s="109" t="n">
        <v>10</v>
      </c>
      <c r="C40" s="110" t="n">
        <v>152700</v>
      </c>
      <c r="D40" s="110" t="n">
        <v>18324</v>
      </c>
      <c r="E40" s="110" t="n">
        <v>20080</v>
      </c>
      <c r="F40" s="110" t="n">
        <v>38404</v>
      </c>
      <c r="G40" s="110" t="n">
        <v>1145</v>
      </c>
      <c r="H40" s="110" t="n">
        <v>4963</v>
      </c>
      <c r="I40" s="110" t="n">
        <v>6108</v>
      </c>
      <c r="J40" s="110" t="n">
        <v>44512</v>
      </c>
      <c r="K40" s="111" t="s">
        <v>342</v>
      </c>
    </row>
    <row r="41" customFormat="false" ht="15" hidden="false" customHeight="false" outlineLevel="0" collapsed="false">
      <c r="A41" s="50" t="s">
        <v>152</v>
      </c>
      <c r="B41" s="50" t="n">
        <v>10</v>
      </c>
      <c r="C41" s="107" t="n">
        <v>145250</v>
      </c>
      <c r="D41" s="107" t="n">
        <v>17430</v>
      </c>
      <c r="E41" s="107" t="n">
        <v>19100</v>
      </c>
      <c r="F41" s="107" t="n">
        <v>36530</v>
      </c>
      <c r="G41" s="107" t="n">
        <v>1089</v>
      </c>
      <c r="H41" s="107" t="n">
        <v>4721</v>
      </c>
      <c r="I41" s="107" t="n">
        <v>5810</v>
      </c>
      <c r="J41" s="107" t="n">
        <v>42340</v>
      </c>
      <c r="K41" s="108" t="s">
        <v>342</v>
      </c>
    </row>
  </sheetData>
  <mergeCells count="3">
    <mergeCell ref="B2:R2"/>
    <mergeCell ref="B3:R3"/>
    <mergeCell ref="A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fals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18" min="4" style="0" width="1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3.75" hidden="false" customHeight="true" outlineLevel="0" collapsed="false">
      <c r="A2" s="1"/>
      <c r="B2" s="112" t="s">
        <v>343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"/>
    </row>
    <row r="3" customFormat="false" ht="19.5" hidden="false" customHeight="true" outlineLevel="0" collapsed="false">
      <c r="A3" s="1"/>
      <c r="B3" s="45" t="s">
        <v>344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customFormat="false" ht="6" hidden="false" customHeight="true" outlineLevel="0" collapsed="false"/>
    <row r="7" customFormat="false" ht="13.5" hidden="false" customHeight="true" outlineLevel="0" collapsed="false"/>
    <row r="8" customFormat="false" ht="30" hidden="false" customHeight="true" outlineLevel="0" collapsed="false">
      <c r="B8" s="113" t="s">
        <v>345</v>
      </c>
      <c r="C8" s="113"/>
      <c r="D8" s="114" t="s">
        <v>346</v>
      </c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</row>
    <row r="9" customFormat="false" ht="21.75" hidden="false" customHeight="true" outlineLevel="0" collapsed="false">
      <c r="B9" s="115" t="s">
        <v>347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</row>
    <row r="10" customFormat="false" ht="19.5" hidden="false" customHeight="true" outlineLevel="0" collapsed="false">
      <c r="B10" s="116" t="s">
        <v>348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</row>
    <row r="11" customFormat="false" ht="6" hidden="false" customHeight="true" outlineLevel="0" collapsed="false"/>
    <row r="12" customFormat="false" ht="13.5" hidden="false" customHeight="true" outlineLevel="0" collapsed="false"/>
    <row r="13" customFormat="false" ht="30" hidden="false" customHeight="true" outlineLevel="0" collapsed="false">
      <c r="B13" s="113" t="s">
        <v>345</v>
      </c>
      <c r="C13" s="113"/>
      <c r="D13" s="114" t="s">
        <v>349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</row>
    <row r="14" customFormat="false" ht="21.75" hidden="false" customHeight="true" outlineLevel="0" collapsed="false">
      <c r="B14" s="115" t="s">
        <v>350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</row>
    <row r="15" customFormat="false" ht="19.5" hidden="false" customHeight="true" outlineLevel="0" collapsed="false">
      <c r="B15" s="116" t="s">
        <v>351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</row>
    <row r="16" customFormat="false" ht="6" hidden="false" customHeight="true" outlineLevel="0" collapsed="false"/>
    <row r="17" customFormat="false" ht="13.5" hidden="false" customHeight="true" outlineLevel="0" collapsed="false"/>
    <row r="18" customFormat="false" ht="30" hidden="false" customHeight="true" outlineLevel="0" collapsed="false">
      <c r="B18" s="117" t="s">
        <v>352</v>
      </c>
      <c r="C18" s="117"/>
      <c r="D18" s="118" t="s">
        <v>353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  <row r="19" customFormat="false" ht="21.75" hidden="false" customHeight="true" outlineLevel="0" collapsed="false">
      <c r="B19" s="119" t="s">
        <v>354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customFormat="false" ht="19.5" hidden="false" customHeight="true" outlineLevel="0" collapsed="false">
      <c r="B20" s="120" t="s">
        <v>355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</row>
    <row r="21" customFormat="false" ht="6" hidden="false" customHeight="true" outlineLevel="0" collapsed="false"/>
    <row r="22" customFormat="false" ht="13.5" hidden="false" customHeight="true" outlineLevel="0" collapsed="false"/>
    <row r="23" customFormat="false" ht="30" hidden="false" customHeight="true" outlineLevel="0" collapsed="false">
      <c r="B23" s="121" t="s">
        <v>356</v>
      </c>
      <c r="C23" s="121"/>
      <c r="D23" s="122" t="s">
        <v>357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</row>
    <row r="24" customFormat="false" ht="21.75" hidden="false" customHeight="true" outlineLevel="0" collapsed="false">
      <c r="B24" s="123" t="s">
        <v>358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</row>
    <row r="25" customFormat="false" ht="19.5" hidden="false" customHeight="true" outlineLevel="0" collapsed="false">
      <c r="B25" s="124" t="s">
        <v>359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</row>
    <row r="26" customFormat="false" ht="6" hidden="false" customHeight="true" outlineLevel="0" collapsed="false"/>
    <row r="27" customFormat="false" ht="13.5" hidden="false" customHeight="true" outlineLevel="0" collapsed="false"/>
    <row r="28" customFormat="false" ht="30" hidden="false" customHeight="true" outlineLevel="0" collapsed="false">
      <c r="B28" s="125" t="s">
        <v>360</v>
      </c>
      <c r="C28" s="125"/>
      <c r="D28" s="126" t="s">
        <v>361</v>
      </c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</row>
    <row r="29" customFormat="false" ht="21.75" hidden="false" customHeight="true" outlineLevel="0" collapsed="false">
      <c r="B29" s="127" t="s">
        <v>362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</row>
    <row r="30" customFormat="false" ht="19.5" hidden="false" customHeight="true" outlineLevel="0" collapsed="false">
      <c r="B30" s="128" t="s">
        <v>363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</row>
    <row r="31" customFormat="false" ht="6" hidden="false" customHeight="true" outlineLevel="0" collapsed="false"/>
    <row r="32" customFormat="false" ht="13.5" hidden="false" customHeight="true" outlineLevel="0" collapsed="false"/>
    <row r="33" customFormat="false" ht="30" hidden="false" customHeight="true" outlineLevel="0" collapsed="false">
      <c r="B33" s="125" t="s">
        <v>360</v>
      </c>
      <c r="C33" s="125"/>
      <c r="D33" s="126" t="s">
        <v>364</v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</row>
    <row r="34" customFormat="false" ht="21.75" hidden="false" customHeight="true" outlineLevel="0" collapsed="false">
      <c r="B34" s="127" t="s">
        <v>365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</row>
    <row r="35" customFormat="false" ht="19.5" hidden="false" customHeight="true" outlineLevel="0" collapsed="false">
      <c r="B35" s="128" t="s">
        <v>366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</row>
    <row r="36" customFormat="false" ht="6" hidden="false" customHeight="true" outlineLevel="0" collapsed="false"/>
    <row r="37" customFormat="false" ht="13.5" hidden="false" customHeight="true" outlineLevel="0" collapsed="false"/>
    <row r="38" customFormat="false" ht="30" hidden="false" customHeight="true" outlineLevel="0" collapsed="false">
      <c r="B38" s="129" t="s">
        <v>76</v>
      </c>
      <c r="C38" s="129"/>
      <c r="D38" s="130" t="s">
        <v>367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</row>
    <row r="39" customFormat="false" ht="21.75" hidden="false" customHeight="true" outlineLevel="0" collapsed="false">
      <c r="B39" s="131" t="s">
        <v>368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</row>
    <row r="40" customFormat="false" ht="19.5" hidden="false" customHeight="true" outlineLevel="0" collapsed="false">
      <c r="B40" s="132" t="s">
        <v>369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</row>
    <row r="41" customFormat="false" ht="6" hidden="false" customHeight="true" outlineLevel="0" collapsed="false"/>
  </sheetData>
  <mergeCells count="30">
    <mergeCell ref="B2:R2"/>
    <mergeCell ref="B3:R3"/>
    <mergeCell ref="B8:C8"/>
    <mergeCell ref="D8:R8"/>
    <mergeCell ref="B9:R9"/>
    <mergeCell ref="B10:R10"/>
    <mergeCell ref="B13:C13"/>
    <mergeCell ref="D13:R13"/>
    <mergeCell ref="B14:R14"/>
    <mergeCell ref="B15:R15"/>
    <mergeCell ref="B18:C18"/>
    <mergeCell ref="D18:R18"/>
    <mergeCell ref="B19:R19"/>
    <mergeCell ref="B20:R20"/>
    <mergeCell ref="B23:C23"/>
    <mergeCell ref="D23:R23"/>
    <mergeCell ref="B24:R24"/>
    <mergeCell ref="B25:R25"/>
    <mergeCell ref="B28:C28"/>
    <mergeCell ref="D28:R28"/>
    <mergeCell ref="B29:R29"/>
    <mergeCell ref="B30:R30"/>
    <mergeCell ref="B33:C33"/>
    <mergeCell ref="D33:R33"/>
    <mergeCell ref="B34:R34"/>
    <mergeCell ref="B35:R35"/>
    <mergeCell ref="B38:C38"/>
    <mergeCell ref="D38:R38"/>
    <mergeCell ref="B39:R39"/>
    <mergeCell ref="B40:R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2026-03-05T11:57:23Z</dcterms:created>
  <dc:creator>openpyxl</dc:creator>
  <dc:description/>
  <dc:language>en-US</dc:language>
  <cp:lastModifiedBy/>
  <dcterms:modified xsi:type="dcterms:W3CDTF">2026-03-05T11:57:29Z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